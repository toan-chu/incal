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Assumption" sheetId="1" r:id="rId1"/>
    <sheet name="Data" sheetId="2" r:id="rId2"/>
    <sheet name="Calc_Sale" sheetId="3" r:id="rId3"/>
    <sheet name="Calc_KAE" sheetId="4" r:id="rId4"/>
    <sheet name="Calc_Other" sheetId="5" r:id="rId5"/>
    <sheet name="Payout" sheetId="6" r:id="rId6"/>
  </sheets>
  <definedNames>
    <definedName name="ky_ten">Assumption!$D$6</definedName>
    <definedName name="ky_bat_dau">Assumption!$D$7</definedName>
    <definedName name="ky_ket_thuc">Assumption!$D$8</definedName>
    <definedName name="tygia_usd_vnd">Assumption!$D$9</definedName>
    <definedName name="rate_muc1">Assumption!$D$13</definedName>
    <definedName name="rate_muc2">Assumption!$D$14</definedName>
    <definedName name="rate_muc3">Assumption!$D$15</definedName>
    <definedName name="khmoi_step">Assumption!$D$16</definedName>
    <definedName name="khmoi_step_x2">Assumption!$D$17</definedName>
    <definedName name="khmoi_step_x3">Assumption!$D$18</definedName>
    <definedName name="incentive_floor">Assumption!$D$19</definedName>
    <definedName name="rate_bpsale">Assumption!$D$20</definedName>
    <definedName name="bpsale_step_cong">Assumption!$D$21</definedName>
    <definedName name="bpsale_step_tru">Assumption!$D$22</definedName>
    <definedName name="bpsale_cap_cong">Assumption!$D$23</definedName>
    <definedName name="bpsale_cap_tru">Assumption!$D$24</definedName>
    <definedName name="head_ma_nv">Assumption!$D$25</definedName>
    <definedName name="head_bonus_apply">Assumption!$D$26</definedName>
    <definedName name="pool_kae_admin">Assumption!$D$30</definedName>
    <definedName name="pool_kae_sale">Assumption!$D$31</definedName>
    <definedName name="rate_bo">Assumption!$D$32</definedName>
    <definedName name="phat_no_ratio">Assumption!$D$36</definedName>
    <definedName name="phat_60plus_giam">Assumption!$D$37</definedName>
    <definedName name="giam_tru_ca_nhan_quy">Assumption!$D$41</definedName>
    <definedName name="giam_tru_phu_thuoc_quy">Assumption!$D$42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<sst xmlns="http://schemas.openxmlformats.org/spreadsheetml/2006/main" count="355" uniqueCount="246">
  <si>
    <t>BẢNG THAM SỐ INCENTIVE  —  Q1/2026</t>
  </si>
  <si>
    <t>1. KỲ TÍNH</t>
  </si>
  <si>
    <t>STT</t>
  </si>
  <si>
    <t>Mô tả</t>
  </si>
  <si>
    <t>Giá trị</t>
  </si>
  <si>
    <t>Đơn vị</t>
  </si>
  <si>
    <t>Ghi chú / Công thức</t>
  </si>
  <si>
    <t>Named Range</t>
  </si>
  <si>
    <t>Kỳ tính (tên)</t>
  </si>
  <si>
    <t>text</t>
  </si>
  <si>
    <t>Nhãn kỳ báo cáo</t>
  </si>
  <si>
    <t>ky_ten</t>
  </si>
  <si>
    <t>Ngày bắt đầu</t>
  </si>
  <si>
    <t>date</t>
  </si>
  <si>
    <t/>
  </si>
  <si>
    <t>ky_bat_dau</t>
  </si>
  <si>
    <t>Ngày kết thúc</t>
  </si>
  <si>
    <t>ky_ket_thuc</t>
  </si>
  <si>
    <t>Tỷ giá USD/VND</t>
  </si>
  <si>
    <t>VND</t>
  </si>
  <si>
    <t>Ngày lập bảng</t>
  </si>
  <si>
    <t>tygia_usd_vnd</t>
  </si>
  <si>
    <t>2. RATE INCENTIVE (SALE COM)</t>
  </si>
  <si>
    <t>Rate mức 1 - KH đã bàn giao KAE (B1)</t>
  </si>
  <si>
    <t>%</t>
  </si>
  <si>
    <t>Profit paid nhóm B1</t>
  </si>
  <si>
    <t>rate_muc1</t>
  </si>
  <si>
    <t>Rate mức 2 - KH chưa bàn giao KAE (B2)</t>
  </si>
  <si>
    <t>Profit paid nhóm B2</t>
  </si>
  <si>
    <t>rate_muc2</t>
  </si>
  <si>
    <t>Rate mức 3 - KH mới ≤6 tháng</t>
  </si>
  <si>
    <t>Profit paid KH mới</t>
  </si>
  <si>
    <t>rate_muc3</t>
  </si>
  <si>
    <t>Bước điều chỉnh KH mới (±)</t>
  </si>
  <si>
    <t>Mỗi KH lệch chỉ tiêu = ±1%</t>
  </si>
  <si>
    <t>khmoi_step</t>
  </si>
  <si>
    <t>Bước x2 (dự phòng)</t>
  </si>
  <si>
    <t>Chưa dùng</t>
  </si>
  <si>
    <t>khmoi_step_x2</t>
  </si>
  <si>
    <t>Bước x3 (dự phòng)</t>
  </si>
  <si>
    <t>khmoi_step_x3</t>
  </si>
  <si>
    <t>Sàn incentive (floor)</t>
  </si>
  <si>
    <t>Incentive không âm</t>
  </si>
  <si>
    <t>incentive_floor</t>
  </si>
  <si>
    <t>Rate thưởng Trưởng BP (base)</t>
  </si>
  <si>
    <t>2.4% × Sum_Vuot toàn BP (trừ Head)</t>
  </si>
  <si>
    <t>rate_bpsale</t>
  </si>
  <si>
    <t>Step CỘNG (dư KH mới) / KH</t>
  </si>
  <si>
    <t>+0.2% mỗi KH dư chỉ tiêu</t>
  </si>
  <si>
    <t>bpsale_step_cong</t>
  </si>
  <si>
    <t>Step TRỪ (thiếu KH mới) / KH</t>
  </si>
  <si>
    <t>-0.1% mỗi KH thiếu (asymmetric)</t>
  </si>
  <si>
    <t>bpsale_step_tru</t>
  </si>
  <si>
    <t>Cap CỘNG (dư KH mới)</t>
  </si>
  <si>
    <t>Tối đa +2.4% / quý (12 KH dư)</t>
  </si>
  <si>
    <t>bpsale_cap_cong</t>
  </si>
  <si>
    <t>Cap TRỪ (thiếu KH mới)</t>
  </si>
  <si>
    <t>Tối đa -0.6% / quý (6 KH thiếu × 0.1%)</t>
  </si>
  <si>
    <t>bpsale_cap_tru</t>
  </si>
  <si>
    <t>Mã NV Trưởng BP KD</t>
  </si>
  <si>
    <t>TTN22.005</t>
  </si>
  <si>
    <t>Đổi mã khi thay Head</t>
  </si>
  <si>
    <t>head_ma_nv</t>
  </si>
  <si>
    <t>Head Bonus áp dụng (1/0)</t>
  </si>
  <si>
    <t>flag</t>
  </si>
  <si>
    <t>1=áp dụng, 0=Head từ chối quý này. Q1/2026 Hoài từ chối</t>
  </si>
  <si>
    <t>head_bonus_apply</t>
  </si>
  <si>
    <t>3. POOL KAE / BO</t>
  </si>
  <si>
    <t>Pool KAE - Admin</t>
  </si>
  <si>
    <t>5% × profit paid KAE Admin</t>
  </si>
  <si>
    <t>pool_kae_admin</t>
  </si>
  <si>
    <t>Pool KAE - Sale</t>
  </si>
  <si>
    <t>2% × profit paid KAE Sale</t>
  </si>
  <si>
    <t>pool_kae_sale</t>
  </si>
  <si>
    <t>Rate BO / Sale khác</t>
  </si>
  <si>
    <t>Flat 8% profit paid</t>
  </si>
  <si>
    <t>rate_bo</t>
  </si>
  <si>
    <t>4. PHẠT CÔNG NỢ</t>
  </si>
  <si>
    <t>Rate phạt công nợ / tháng</t>
  </si>
  <si>
    <t>1% × số_tháng × DT_sau_thuế</t>
  </si>
  <si>
    <t>phat_no_ratio</t>
  </si>
  <si>
    <t>Giảm nợ khi chuyển admin</t>
  </si>
  <si>
    <t>Nợ 60+ chuyển admin</t>
  </si>
  <si>
    <t>phat_60plus_giam</t>
  </si>
  <si>
    <t>5. THUẾ TNCN (theo file gốc)</t>
  </si>
  <si>
    <t>Giảm trừ bản thân / quý</t>
  </si>
  <si>
    <t>11tr × 3 tháng</t>
  </si>
  <si>
    <t>giam_tru_ca_nhan_quy</t>
  </si>
  <si>
    <t>Giảm trừ phụ thuộc / quý</t>
  </si>
  <si>
    <t>4.4tr × 3 tháng</t>
  </si>
  <si>
    <t>giam_tru_phu_thuoc_quy</t>
  </si>
  <si>
    <t>Bậc thuế TNCN (theo file gốc - 5 bậc quý)</t>
  </si>
  <si>
    <t>Bậc</t>
  </si>
  <si>
    <t>Rate</t>
  </si>
  <si>
    <t>Giảm trừ (VND)</t>
  </si>
  <si>
    <t>Ghi chú</t>
  </si>
  <si>
    <t>Bậc 1</t>
  </si>
  <si>
    <t>Bậc 2</t>
  </si>
  <si>
    <t>Bậc 3</t>
  </si>
  <si>
    <t>Bậc 4</t>
  </si>
  <si>
    <t>Bậc 5</t>
  </si>
  <si>
    <t>6. DANH SÁCH NHÂN VIÊN + TARGET (giả định chi phí lương)</t>
  </si>
  <si>
    <t>Ma_NV</t>
  </si>
  <si>
    <t>Ho_Ten</t>
  </si>
  <si>
    <t>Team</t>
  </si>
  <si>
    <t>Luong_T1</t>
  </si>
  <si>
    <t>Luong_T2</t>
  </si>
  <si>
    <t>Luong_T3</t>
  </si>
  <si>
    <t>Target_T1</t>
  </si>
  <si>
    <t>Target_T2</t>
  </si>
  <si>
    <t>Target_T3</t>
  </si>
  <si>
    <t>Target_Q</t>
  </si>
  <si>
    <t>KHmoi_Giao</t>
  </si>
  <si>
    <t>KHmoi_Dat</t>
  </si>
  <si>
    <t>KHmoi_Adj_Rate</t>
  </si>
  <si>
    <t>Note</t>
  </si>
  <si>
    <t>COM</t>
  </si>
  <si>
    <t>thử việc→chính thức 01/02. Giao=3 để tính vào tổng BP, profit=0 nên U/V/W cá nhân =0</t>
  </si>
  <si>
    <t>học việc→chính thức 01/01</t>
  </si>
  <si>
    <t>KAE</t>
  </si>
  <si>
    <t>KAE_BO</t>
  </si>
  <si>
    <t>KAE + Sale khác</t>
  </si>
  <si>
    <t>chính thức 01/03</t>
  </si>
  <si>
    <t>chính thức 01/02</t>
  </si>
  <si>
    <t>BO</t>
  </si>
  <si>
    <t>OTHER</t>
  </si>
  <si>
    <t>DỮ LIỆU NGUỒN  —  Q1/2026</t>
  </si>
  <si>
    <t>A. JOBS</t>
  </si>
  <si>
    <t>B. PENALTY 60+</t>
  </si>
  <si>
    <t>C. PENALTY UNPAID Q1</t>
  </si>
  <si>
    <t>D. TỔNG PHẠT / SALE</t>
  </si>
  <si>
    <t>E. KH MỚI TRONG QUÝ (master)</t>
  </si>
  <si>
    <t>Thang</t>
  </si>
  <si>
    <t>Ma_Job</t>
  </si>
  <si>
    <t>Sale</t>
  </si>
  <si>
    <t>Khach_Hang</t>
  </si>
  <si>
    <t>Nhom_SP</t>
  </si>
  <si>
    <t>Product</t>
  </si>
  <si>
    <t>Doanh_Thu</t>
  </si>
  <si>
    <t>Chi_Phi</t>
  </si>
  <si>
    <t>Profit</t>
  </si>
  <si>
    <t>Paid_Status</t>
  </si>
  <si>
    <t>KH_Loai</t>
  </si>
  <si>
    <t>Ma_KH</t>
  </si>
  <si>
    <t>Ten_KH</t>
  </si>
  <si>
    <t>So_Tien</t>
  </si>
  <si>
    <t>Sale_Assign</t>
  </si>
  <si>
    <t>Chuyen_Admin</t>
  </si>
  <si>
    <t>So_Tien_Phat</t>
  </si>
  <si>
    <t>DT_truoc_thue</t>
  </si>
  <si>
    <t>DT_sau_thue</t>
  </si>
  <si>
    <t>So_Thang</t>
  </si>
  <si>
    <t>Phat</t>
  </si>
  <si>
    <t>Phat_60plus</t>
  </si>
  <si>
    <t>Phat_Unpaid</t>
  </si>
  <si>
    <t>Tong_Phat</t>
  </si>
  <si>
    <t>Ten_SMS</t>
  </si>
  <si>
    <t>Ten_Day_Du</t>
  </si>
  <si>
    <t>Ngay_HD_Dau</t>
  </si>
  <si>
    <t>Ngay_Het_6t</t>
  </si>
  <si>
    <t>Sale_Owner</t>
  </si>
  <si>
    <t>Tinh_KHmoi</t>
  </si>
  <si>
    <t>TÍNH INCENTIVE  —  SALE COM CHÍNH THỨC  Q1/2026</t>
  </si>
  <si>
    <t>Profit_Total</t>
  </si>
  <si>
    <t>Profit_Paid</t>
  </si>
  <si>
    <t>Profit_Unpaid</t>
  </si>
  <si>
    <t>Adj_Rate</t>
  </si>
  <si>
    <t>R_M1_Paid</t>
  </si>
  <si>
    <t>S_M2_Paid</t>
  </si>
  <si>
    <t>T_M3_Paid</t>
  </si>
  <si>
    <t>Rate_M1</t>
  </si>
  <si>
    <t>Rate_M2</t>
  </si>
  <si>
    <t>Rate_M3</t>
  </si>
  <si>
    <t>U_Muc1</t>
  </si>
  <si>
    <t>V_Muc2</t>
  </si>
  <si>
    <t>W_Muc3</t>
  </si>
  <si>
    <t>X_Gross</t>
  </si>
  <si>
    <t>Z_BP</t>
  </si>
  <si>
    <t>AA_Phat</t>
  </si>
  <si>
    <t>AB_Incentive</t>
  </si>
  <si>
    <t>Phạm Thị Thương Hoài</t>
  </si>
  <si>
    <t>TTN24.002</t>
  </si>
  <si>
    <t>Phạm Trần Hiếu</t>
  </si>
  <si>
    <t>TTN24.006</t>
  </si>
  <si>
    <t>Trần Văn Hiếu</t>
  </si>
  <si>
    <t>TTN25.001</t>
  </si>
  <si>
    <t>Lê Thị Hằng</t>
  </si>
  <si>
    <t>TTN25.005</t>
  </si>
  <si>
    <t>Kim Thanh Thư</t>
  </si>
  <si>
    <t>TTN25.010</t>
  </si>
  <si>
    <t>Nguyễn Duy Tân</t>
  </si>
  <si>
    <t>TTN25.007</t>
  </si>
  <si>
    <t>Nguyễn Gia Bảo</t>
  </si>
  <si>
    <t>HEAD BONUS  —  Thưởng Trưởng BP KD (loại Head khỏi SUM)</t>
  </si>
  <si>
    <t>Metric</t>
  </si>
  <si>
    <t>Công thức</t>
  </si>
  <si>
    <t>Sum_Profit_BP</t>
  </si>
  <si>
    <t>Sum_Target_BP</t>
  </si>
  <si>
    <t>Sum_Vuot</t>
  </si>
  <si>
    <t>Sum_KHmoi_Giao</t>
  </si>
  <si>
    <t>Sum_KHmoi_Dat</t>
  </si>
  <si>
    <t>SUM toàn BP (trừ Head)</t>
  </si>
  <si>
    <t>DeltaKH toàn BP</t>
  </si>
  <si>
    <t>Base / Adj bonus</t>
  </si>
  <si>
    <t>Base=rate_bpsale×Vuot; Adj asymmetric: ΔKH&gt;=0 dùng step_cong, ΔKH&lt;0 dùng step_tru</t>
  </si>
  <si>
    <t>TỔNG HEAD BONUS</t>
  </si>
  <si>
    <t>(Base + Adj) × head_bonus_apply — 0 nếu Head từ chối</t>
  </si>
  <si>
    <t>TÍNH INCENTIVE  —  TEAM KAE  Q1/2026</t>
  </si>
  <si>
    <t>1. POOL THÁNG</t>
  </si>
  <si>
    <t>Nguon</t>
  </si>
  <si>
    <t>T1_Profit</t>
  </si>
  <si>
    <t>T2_Profit</t>
  </si>
  <si>
    <t>T3_Profit</t>
  </si>
  <si>
    <t>T1_Pool</t>
  </si>
  <si>
    <t>T2_Pool</t>
  </si>
  <si>
    <t>T3_Pool</t>
  </si>
  <si>
    <t>KAE Admin</t>
  </si>
  <si>
    <t>KAE Sale</t>
  </si>
  <si>
    <t>TỔNG POOL</t>
  </si>
  <si>
    <t>2. SỐ KAE HOẠT ĐỘNG / THÁNG</t>
  </si>
  <si>
    <t>So_KAE</t>
  </si>
  <si>
    <t>3. INCENTIVE / TỪNG KAE  (T*_Ratio: 1=full, 0=vắng, 0.5=nửa)</t>
  </si>
  <si>
    <t>T1_Ratio</t>
  </si>
  <si>
    <t>T2_Ratio</t>
  </si>
  <si>
    <t>T3_Ratio</t>
  </si>
  <si>
    <t>T1_Share</t>
  </si>
  <si>
    <t>T2_Share</t>
  </si>
  <si>
    <t>T3_Share</t>
  </si>
  <si>
    <t>Tong_Chia</t>
  </si>
  <si>
    <t>Tru</t>
  </si>
  <si>
    <t>Incentive</t>
  </si>
  <si>
    <t>TÍNH INCENTIVE  —  SALE KHÁC / BO  Q1/2026</t>
  </si>
  <si>
    <t>BẢNG CHI INCENTIVE + THUẾ TNCN  —  Q1/2026</t>
  </si>
  <si>
    <t>Incentive_Gross</t>
  </si>
  <si>
    <t>TN_Luong_Chiu_Thue</t>
  </si>
  <si>
    <t>Phi_OPS</t>
  </si>
  <si>
    <t>BHXH</t>
  </si>
  <si>
    <t>Giam_Tru</t>
  </si>
  <si>
    <t>TN_Chiu_Thue</t>
  </si>
  <si>
    <t>Thue_TNCN</t>
  </si>
  <si>
    <t>Thue_Da_Tru_Luong</t>
  </si>
  <si>
    <t>Thue_Da_Tru_OPS</t>
  </si>
  <si>
    <t>Thue_Phai_Nop</t>
  </si>
  <si>
    <t>Cong_Tru_Khac</t>
  </si>
  <si>
    <t>Incentive_Thuc_Nhan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</si>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</sst>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8">
    <font>
      <sz val="11"/>
      <color theme="1"/>
      <name val="Calibri"/>
      <charset val="134"/>
      <scheme val="minor"/>
    </font>
    <font>
      <b/>
      <sz val="14"/>
      <color rgb="FFFF6200"/>
      <name val="Roboto"/>
      <charset val="134"/>
    </font>
    <font>
      <b/>
      <sz val="11"/>
      <color rgb="FFFFFFFF"/>
      <name val="Roboto"/>
      <charset val="134"/>
    </font>
    <font>
      <sz val="11"/>
      <name val="Calibri"/>
      <charset val="134"/>
    </font>
    <font>
      <b/>
      <sz val="11"/>
      <color rgb="FFFF6200"/>
      <name val="Calibri"/>
      <charset val="134"/>
    </font>
    <font>
      <b/>
      <sz val="11"/>
      <name val="Calibri"/>
      <charset val="134"/>
    </font>
    <font>
      <b/>
      <sz val="12"/>
      <color rgb="FFFF6200"/>
      <name val="Roboto"/>
      <charset val="134"/>
    </font>
    <font>
      <b/>
      <sz val="14"/>
      <color rgb="FF4D148C"/>
      <name val="Roboto"/>
      <charset val="134"/>
    </font>
    <font>
      <b/>
      <sz val="12"/>
      <color rgb="FF4D148C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62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D148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6" borderId="5">
      <alignment vertical="center"/>
    </xf>
    <xf numFmtId="0" fontId="18" fillId="7" borderId="6">
      <alignment vertical="center"/>
    </xf>
    <xf numFmtId="0" fontId="19" fillId="7" borderId="5">
      <alignment vertical="center"/>
    </xf>
    <xf numFmtId="0" fontId="20" fillId="8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0" fontId="6" fillId="0" borderId="0" xfId="0" applyFont="1"/>
    <xf numFmtId="0" fontId="3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0" fontId="5" fillId="0" borderId="1" xfId="0" applyNumberFormat="1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7" fillId="0" borderId="0" xfId="0" applyFont="1"/>
    <xf numFmtId="0" fontId="8" fillId="0" borderId="0" xfId="0" applyFont="1"/>
    <xf numFmtId="0" fontId="2" fillId="4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178" fontId="3" fillId="3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78" fontId="5" fillId="3" borderId="1" xfId="0" applyNumberFormat="1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left" vertical="center" wrapText="1"/>
    </xf>
    <xf numFmtId="10" fontId="5" fillId="3" borderId="1" xfId="0" applyNumberFormat="1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_staff" displayName="tbl_staff" ref="B54:O74">
  <autoFilter xmlns:etc="http://www.wps.cn/officeDocument/2017/etCustomData" ref="B54:O74" etc:filterBottomFollowUsedRange="0"/>
  <tableColumns count="14">
    <tableColumn id="2" name="Ma_NV"/>
    <tableColumn id="3" name="Ho_Ten"/>
    <tableColumn id="4" name="Team"/>
    <tableColumn id="5" name="Luong_T1"/>
    <tableColumn id="6" name="Luong_T2"/>
    <tableColumn id="7" name="Luong_T3"/>
    <tableColumn id="8" name="Target_T1"/>
    <tableColumn id="9" name="Target_T2"/>
    <tableColumn id="10" name="Target_T3"/>
    <tableColumn id="11" name="Target_Q"/>
    <tableColumn id="12" name="KHmoi_Giao"/>
    <tableColumn id="13" name="KHmoi_Dat"/>
    <tableColumn id="14" name="KHmoi_Adj_Rate"/>
    <tableColumn id="15" name="No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_jobs" displayName="tbl_jobs" ref="B5:N350">
  <autoFilter xmlns:etc="http://www.wps.cn/officeDocument/2017/etCustomData" ref="B5:N350" etc:filterBottomFollowUsedRange="0"/>
  <tableColumns count="13">
    <tableColumn id="2" name="Thang"/>
    <tableColumn id="3" name="Ma_Job"/>
    <tableColumn id="4" name="Sale"/>
    <tableColumn id="5" name="Khach_Hang"/>
    <tableColumn id="6" name="Nhom_SP"/>
    <tableColumn id="7" name="Product"/>
    <tableColumn id="8" name="Team"/>
    <tableColumn id="9" name="Doanh_Thu"/>
    <tableColumn id="10" name="Chi_Phi"/>
    <tableColumn id="11" name="Profit"/>
    <tableColumn id="12" name="Paid_Status"/>
    <tableColumn id="13" name="KH_Loai"/>
    <tableColumn id="14" name="KA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bl_penalty_60plus" displayName="tbl_penalty_60plus" ref="P5:V11">
  <autoFilter xmlns:etc="http://www.wps.cn/officeDocument/2017/etCustomData" ref="P5:V11" etc:filterBottomFollowUsedRange="0"/>
  <tableColumns count="7">
    <tableColumn id="16" name="Ma_KH"/>
    <tableColumn id="17" name="Ten_KH"/>
    <tableColumn id="18" name="So_Tien"/>
    <tableColumn id="19" name="Sale_Assign"/>
    <tableColumn id="20" name="Chuyen_Admin"/>
    <tableColumn id="21" name="So_Tien_Phat"/>
    <tableColumn id="22" name="Not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tbl_penalty_unpaid" displayName="tbl_penalty_unpaid" ref="X5:AE11">
  <autoFilter xmlns:etc="http://www.wps.cn/officeDocument/2017/etCustomData" ref="X5:AE11" etc:filterBottomFollowUsedRange="0"/>
  <tableColumns count="8">
    <tableColumn id="24" name="Thang"/>
    <tableColumn id="25" name="Ma_Job"/>
    <tableColumn id="26" name="DT_truoc_thue"/>
    <tableColumn id="27" name="DT_sau_thue"/>
    <tableColumn id="28" name="Sale"/>
    <tableColumn id="29" name="Khach_Hang"/>
    <tableColumn id="30" name="So_Thang"/>
    <tableColumn id="31" name="Phat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bl_penalty_sum" displayName="tbl_penalty_sum" ref="AH5:AL12">
  <autoFilter xmlns:etc="http://www.wps.cn/officeDocument/2017/etCustomData" ref="AH5:AL12" etc:filterBottomFollowUsedRange="0"/>
  <tableColumns count="5">
    <tableColumn id="34" name="Ma_NV"/>
    <tableColumn id="35" name="Ho_Ten"/>
    <tableColumn id="36" name="Phat_60plus"/>
    <tableColumn id="37" name="Phat_Unpaid"/>
    <tableColumn id="38" name="Tong_Phat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tbl_khmoi_quy" displayName="tbl_khmoi_quy" ref="AN5:AU25">
  <autoFilter xmlns:etc="http://www.wps.cn/officeDocument/2017/etCustomData" ref="AN5:AU25" etc:filterBottomFollowUsedRange="0"/>
  <tableColumns count="8">
    <tableColumn id="40" name="STT"/>
    <tableColumn id="41" name="Ten_SMS"/>
    <tableColumn id="42" name="Ten_Day_Du"/>
    <tableColumn id="43" name="Ngay_HD_Dau"/>
    <tableColumn id="44" name="Ngay_Het_6t"/>
    <tableColumn id="45" name="Sale_Owner"/>
    <tableColumn id="46" name="Note"/>
    <tableColumn id="47" name="Tinh_KHmoi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74"/>
  <sheetViews>
    <sheetView showGridLines="0" tabSelected="1" topLeftCell="F1" workbookViewId="0">
      <pane ySplit="3" topLeftCell="A28" activePane="bottomLeft" state="frozen"/>
      <selection/>
      <selection pane="bottomLeft" activeCell="B55" sqref="B55:C74"/>
    </sheetView>
  </sheetViews>
  <sheetFormatPr defaultColWidth="9" defaultRowHeight="14.4"/>
  <cols>
    <col min="1" max="1" width="3" customWidth="1"/>
    <col min="2" max="2" width="12" customWidth="1"/>
    <col min="3" max="3" width="42" customWidth="1"/>
    <col min="4" max="4" width="18" customWidth="1"/>
    <col min="5" max="5" width="13" customWidth="1"/>
    <col min="6" max="6" width="50" customWidth="1"/>
    <col min="7" max="7" width="22" customWidth="1"/>
    <col min="8" max="10" width="13" customWidth="1"/>
    <col min="11" max="11" width="14" customWidth="1"/>
    <col min="12" max="13" width="13" customWidth="1"/>
    <col min="14" max="14" width="14" customWidth="1"/>
    <col min="15" max="15" width="42" customWidth="1"/>
  </cols>
  <sheetData>
    <row r="2" ht="18" customHeight="1" spans="2:7">
      <c r="B2" s="21" t="s">
        <v>0</v>
      </c>
    </row>
    <row r="4" ht="15.5" customHeight="1" spans="2:7">
      <c r="B4" s="22" t="s">
        <v>1</v>
      </c>
    </row>
    <row r="5" spans="2:7">
      <c r="B5" s="23" t="s">
        <v>2</v>
      </c>
      <c r="C5" s="23" t="s">
        <v>3</v>
      </c>
      <c r="D5" s="23" t="s">
        <v>4</v>
      </c>
      <c r="E5" s="23" t="s">
        <v>5</v>
      </c>
      <c r="F5" s="23" t="s">
        <v>6</v>
      </c>
      <c r="G5" s="23" t="s">
        <v>7</v>
      </c>
    </row>
    <row r="6" spans="2:7">
      <c r="B6" s="3">
        <v>1</v>
      </c>
      <c r="C6" s="13" t="s">
        <v>8</v>
      </c>
      <c r="D6" s="28"/>
      <c r="E6" s="3" t="s">
        <v>9</v>
      </c>
      <c r="F6" s="13" t="s">
        <v>10</v>
      </c>
      <c r="G6" s="13" t="s">
        <v>11</v>
      </c>
    </row>
    <row r="7" spans="2:7">
      <c r="B7" s="3">
        <v>2</v>
      </c>
      <c r="C7" s="13" t="s">
        <v>12</v>
      </c>
      <c r="D7" s="29"/>
      <c r="E7" s="3" t="s">
        <v>13</v>
      </c>
      <c r="F7" s="13" t="s">
        <v>14</v>
      </c>
      <c r="G7" s="13" t="s">
        <v>15</v>
      </c>
    </row>
    <row r="8" spans="2:7">
      <c r="B8" s="3">
        <v>3</v>
      </c>
      <c r="C8" s="13" t="s">
        <v>16</v>
      </c>
      <c r="D8" s="29"/>
      <c r="E8" s="3" t="s">
        <v>13</v>
      </c>
      <c r="F8" s="13" t="s">
        <v>14</v>
      </c>
      <c r="G8" s="13" t="s">
        <v>17</v>
      </c>
    </row>
    <row r="9" spans="2:7">
      <c r="B9" s="3">
        <v>4</v>
      </c>
      <c r="C9" s="13" t="s">
        <v>18</v>
      </c>
      <c r="D9" s="30">
        <v>26000</v>
      </c>
      <c r="E9" s="3" t="s">
        <v>19</v>
      </c>
      <c r="F9" s="13" t="s">
        <v>20</v>
      </c>
      <c r="G9" s="13" t="s">
        <v>21</v>
      </c>
    </row>
    <row r="11" ht="15.5" customHeight="1" spans="2:7">
      <c r="B11" s="22" t="s">
        <v>22</v>
      </c>
    </row>
    <row r="12" spans="2:7">
      <c r="B12" s="23" t="s">
        <v>2</v>
      </c>
      <c r="C12" s="23" t="s">
        <v>3</v>
      </c>
      <c r="D12" s="23" t="s">
        <v>4</v>
      </c>
      <c r="E12" s="23" t="s">
        <v>5</v>
      </c>
      <c r="F12" s="23" t="s">
        <v>6</v>
      </c>
      <c r="G12" s="23" t="s">
        <v>7</v>
      </c>
    </row>
    <row r="13" spans="2:7">
      <c r="B13" s="3">
        <v>1</v>
      </c>
      <c r="C13" s="13" t="s">
        <v>23</v>
      </c>
      <c r="D13" s="31">
        <v>0.08</v>
      </c>
      <c r="E13" s="3" t="s">
        <v>24</v>
      </c>
      <c r="F13" s="13" t="s">
        <v>25</v>
      </c>
      <c r="G13" s="13" t="s">
        <v>26</v>
      </c>
    </row>
    <row r="14" spans="2:7">
      <c r="B14" s="3">
        <v>2</v>
      </c>
      <c r="C14" s="13" t="s">
        <v>27</v>
      </c>
      <c r="D14" s="31">
        <v>0.12</v>
      </c>
      <c r="E14" s="3" t="s">
        <v>24</v>
      </c>
      <c r="F14" s="13" t="s">
        <v>28</v>
      </c>
      <c r="G14" s="13" t="s">
        <v>29</v>
      </c>
    </row>
    <row r="15" spans="2:7">
      <c r="B15" s="3">
        <v>3</v>
      </c>
      <c r="C15" s="13" t="s">
        <v>30</v>
      </c>
      <c r="D15" s="31">
        <v>0.17</v>
      </c>
      <c r="E15" s="3" t="s">
        <v>24</v>
      </c>
      <c r="F15" s="13" t="s">
        <v>31</v>
      </c>
      <c r="G15" s="13" t="s">
        <v>32</v>
      </c>
    </row>
    <row r="16" spans="2:7">
      <c r="B16" s="3">
        <v>4</v>
      </c>
      <c r="C16" s="13" t="s">
        <v>33</v>
      </c>
      <c r="D16" s="31">
        <v>0.01</v>
      </c>
      <c r="E16" s="3" t="s">
        <v>24</v>
      </c>
      <c r="F16" s="13" t="s">
        <v>34</v>
      </c>
      <c r="G16" s="13" t="s">
        <v>35</v>
      </c>
    </row>
    <row r="17" spans="2:7">
      <c r="B17" s="3">
        <v>5</v>
      </c>
      <c r="C17" s="13" t="s">
        <v>36</v>
      </c>
      <c r="D17" s="31">
        <v>0.02</v>
      </c>
      <c r="E17" s="3" t="s">
        <v>24</v>
      </c>
      <c r="F17" s="13" t="s">
        <v>37</v>
      </c>
      <c r="G17" s="13" t="s">
        <v>38</v>
      </c>
    </row>
    <row r="18" spans="2:7">
      <c r="B18" s="3">
        <v>6</v>
      </c>
      <c r="C18" s="13" t="s">
        <v>39</v>
      </c>
      <c r="D18" s="31">
        <v>0.03</v>
      </c>
      <c r="E18" s="3" t="s">
        <v>24</v>
      </c>
      <c r="F18" s="13" t="s">
        <v>37</v>
      </c>
      <c r="G18" s="13" t="s">
        <v>40</v>
      </c>
    </row>
    <row r="19" spans="2:7">
      <c r="B19" s="3">
        <v>7</v>
      </c>
      <c r="C19" s="13" t="s">
        <v>41</v>
      </c>
      <c r="D19" s="30">
        <v>0</v>
      </c>
      <c r="E19" s="3" t="s">
        <v>19</v>
      </c>
      <c r="F19" s="13" t="s">
        <v>42</v>
      </c>
      <c r="G19" s="13" t="s">
        <v>43</v>
      </c>
    </row>
    <row r="20" spans="2:7">
      <c r="B20" s="3">
        <v>8</v>
      </c>
      <c r="C20" s="13" t="s">
        <v>44</v>
      </c>
      <c r="D20" s="31">
        <v>0.024</v>
      </c>
      <c r="E20" s="3" t="s">
        <v>24</v>
      </c>
      <c r="F20" s="13" t="s">
        <v>45</v>
      </c>
      <c r="G20" s="13" t="s">
        <v>46</v>
      </c>
    </row>
    <row r="21" spans="2:7">
      <c r="B21" s="3">
        <v>9</v>
      </c>
      <c r="C21" s="13" t="s">
        <v>47</v>
      </c>
      <c r="D21" s="31">
        <v>0.002</v>
      </c>
      <c r="E21" s="3" t="s">
        <v>24</v>
      </c>
      <c r="F21" s="13" t="s">
        <v>48</v>
      </c>
      <c r="G21" s="13" t="s">
        <v>49</v>
      </c>
    </row>
    <row r="22" spans="2:7">
      <c r="B22" s="3">
        <v>10</v>
      </c>
      <c r="C22" s="13" t="s">
        <v>50</v>
      </c>
      <c r="D22" s="31">
        <v>0.001</v>
      </c>
      <c r="E22" s="3" t="s">
        <v>24</v>
      </c>
      <c r="F22" s="13" t="s">
        <v>51</v>
      </c>
      <c r="G22" s="13" t="s">
        <v>52</v>
      </c>
    </row>
    <row r="23" spans="2:7">
      <c r="B23" s="3">
        <v>11</v>
      </c>
      <c r="C23" s="13" t="s">
        <v>53</v>
      </c>
      <c r="D23" s="31">
        <v>0.024</v>
      </c>
      <c r="E23" s="3" t="s">
        <v>24</v>
      </c>
      <c r="F23" s="13" t="s">
        <v>54</v>
      </c>
      <c r="G23" s="13" t="s">
        <v>55</v>
      </c>
    </row>
    <row r="24" spans="2:7">
      <c r="B24" s="3">
        <v>12</v>
      </c>
      <c r="C24" s="13" t="s">
        <v>56</v>
      </c>
      <c r="D24" s="31">
        <v>0.006</v>
      </c>
      <c r="E24" s="3" t="s">
        <v>24</v>
      </c>
      <c r="F24" s="13" t="s">
        <v>57</v>
      </c>
      <c r="G24" s="13" t="s">
        <v>58</v>
      </c>
    </row>
    <row r="25" spans="2:7">
      <c r="B25" s="3">
        <v>13</v>
      </c>
      <c r="C25" s="13" t="s">
        <v>59</v>
      </c>
      <c r="D25" s="28" t="s">
        <v>60</v>
      </c>
      <c r="E25" s="3" t="s">
        <v>9</v>
      </c>
      <c r="F25" s="13" t="s">
        <v>61</v>
      </c>
      <c r="G25" s="13" t="s">
        <v>62</v>
      </c>
    </row>
    <row r="26" spans="2:7">
      <c r="B26" s="3">
        <v>14</v>
      </c>
      <c r="C26" s="13" t="s">
        <v>63</v>
      </c>
      <c r="D26" s="28">
        <v>1</v>
      </c>
      <c r="E26" s="3" t="s">
        <v>64</v>
      </c>
      <c r="F26" s="13" t="s">
        <v>65</v>
      </c>
      <c r="G26" s="13" t="s">
        <v>66</v>
      </c>
    </row>
    <row r="28" ht="15.5" customHeight="1" spans="2:7">
      <c r="B28" s="22" t="s">
        <v>67</v>
      </c>
    </row>
    <row r="29" spans="2:7">
      <c r="B29" s="23" t="s">
        <v>2</v>
      </c>
      <c r="C29" s="23" t="s">
        <v>3</v>
      </c>
      <c r="D29" s="23" t="s">
        <v>4</v>
      </c>
      <c r="E29" s="23" t="s">
        <v>5</v>
      </c>
      <c r="F29" s="23" t="s">
        <v>6</v>
      </c>
      <c r="G29" s="23" t="s">
        <v>7</v>
      </c>
    </row>
    <row r="30" spans="2:7">
      <c r="B30" s="3">
        <v>1</v>
      </c>
      <c r="C30" s="13" t="s">
        <v>68</v>
      </c>
      <c r="D30" s="31">
        <v>0.05</v>
      </c>
      <c r="E30" s="3" t="s">
        <v>24</v>
      </c>
      <c r="F30" s="13" t="s">
        <v>69</v>
      </c>
      <c r="G30" s="13" t="s">
        <v>70</v>
      </c>
    </row>
    <row r="31" spans="2:7">
      <c r="B31" s="3">
        <v>2</v>
      </c>
      <c r="C31" s="13" t="s">
        <v>71</v>
      </c>
      <c r="D31" s="31">
        <v>0.02</v>
      </c>
      <c r="E31" s="3" t="s">
        <v>24</v>
      </c>
      <c r="F31" s="13" t="s">
        <v>72</v>
      </c>
      <c r="G31" s="13" t="s">
        <v>73</v>
      </c>
    </row>
    <row r="32" spans="2:7">
      <c r="B32" s="3">
        <v>3</v>
      </c>
      <c r="C32" s="13" t="s">
        <v>74</v>
      </c>
      <c r="D32" s="31">
        <v>0.08</v>
      </c>
      <c r="E32" s="3" t="s">
        <v>24</v>
      </c>
      <c r="F32" s="13" t="s">
        <v>75</v>
      </c>
      <c r="G32" s="13" t="s">
        <v>76</v>
      </c>
    </row>
    <row r="34" ht="15.5" customHeight="1" spans="2:7">
      <c r="B34" s="22" t="s">
        <v>77</v>
      </c>
    </row>
    <row r="35" spans="2:7">
      <c r="B35" s="23" t="s">
        <v>2</v>
      </c>
      <c r="C35" s="23" t="s">
        <v>3</v>
      </c>
      <c r="D35" s="23" t="s">
        <v>4</v>
      </c>
      <c r="E35" s="23" t="s">
        <v>5</v>
      </c>
      <c r="F35" s="23" t="s">
        <v>6</v>
      </c>
      <c r="G35" s="23" t="s">
        <v>7</v>
      </c>
    </row>
    <row r="36" spans="2:7">
      <c r="B36" s="3">
        <v>1</v>
      </c>
      <c r="C36" s="13" t="s">
        <v>78</v>
      </c>
      <c r="D36" s="31">
        <v>0.01</v>
      </c>
      <c r="E36" s="3" t="s">
        <v>24</v>
      </c>
      <c r="F36" s="13" t="s">
        <v>79</v>
      </c>
      <c r="G36" s="13" t="s">
        <v>80</v>
      </c>
    </row>
    <row r="37" spans="2:7">
      <c r="B37" s="3">
        <v>2</v>
      </c>
      <c r="C37" s="13" t="s">
        <v>81</v>
      </c>
      <c r="D37" s="31">
        <v>0.5</v>
      </c>
      <c r="E37" s="3" t="s">
        <v>24</v>
      </c>
      <c r="F37" s="13" t="s">
        <v>82</v>
      </c>
      <c r="G37" s="13" t="s">
        <v>83</v>
      </c>
    </row>
    <row r="39" ht="15.5" customHeight="1" spans="2:7">
      <c r="B39" s="22" t="s">
        <v>84</v>
      </c>
    </row>
    <row r="40" spans="2:7">
      <c r="B40" s="23" t="s">
        <v>2</v>
      </c>
      <c r="C40" s="23" t="s">
        <v>3</v>
      </c>
      <c r="D40" s="23" t="s">
        <v>4</v>
      </c>
      <c r="E40" s="23" t="s">
        <v>5</v>
      </c>
      <c r="F40" s="23" t="s">
        <v>6</v>
      </c>
      <c r="G40" s="23" t="s">
        <v>7</v>
      </c>
    </row>
    <row r="41" spans="2:7">
      <c r="B41" s="3">
        <v>1</v>
      </c>
      <c r="C41" s="13" t="s">
        <v>85</v>
      </c>
      <c r="D41" s="30">
        <v>33000000</v>
      </c>
      <c r="E41" s="3" t="s">
        <v>19</v>
      </c>
      <c r="F41" s="13" t="s">
        <v>86</v>
      </c>
      <c r="G41" s="13" t="s">
        <v>87</v>
      </c>
    </row>
    <row r="42" ht="29" customHeight="1" spans="2:7">
      <c r="B42" s="3">
        <v>2</v>
      </c>
      <c r="C42" s="13" t="s">
        <v>88</v>
      </c>
      <c r="D42" s="30">
        <v>13200000</v>
      </c>
      <c r="E42" s="3" t="s">
        <v>19</v>
      </c>
      <c r="F42" s="13" t="s">
        <v>89</v>
      </c>
      <c r="G42" s="13" t="s">
        <v>90</v>
      </c>
    </row>
    <row r="44" ht="15.5" customHeight="1" spans="2:7">
      <c r="B44" s="22" t="s">
        <v>91</v>
      </c>
    </row>
    <row r="45" spans="2:7">
      <c r="B45" s="23" t="s">
        <v>92</v>
      </c>
      <c r="C45" s="23" t="s">
        <v>93</v>
      </c>
      <c r="D45" s="23" t="s">
        <v>94</v>
      </c>
      <c r="E45" s="23" t="s">
        <v>95</v>
      </c>
    </row>
    <row r="46" spans="2:7">
      <c r="B46" s="3">
        <v>1</v>
      </c>
      <c r="C46" s="32">
        <v>0.05</v>
      </c>
      <c r="D46" s="33">
        <v>0</v>
      </c>
      <c r="E46" s="3" t="s">
        <v>96</v>
      </c>
    </row>
    <row r="47" spans="2:7">
      <c r="B47" s="3">
        <v>2</v>
      </c>
      <c r="C47" s="32">
        <v>0.1</v>
      </c>
      <c r="D47" s="33">
        <v>500000</v>
      </c>
      <c r="E47" s="3" t="s">
        <v>97</v>
      </c>
    </row>
    <row r="48" spans="2:7">
      <c r="B48" s="3">
        <v>3</v>
      </c>
      <c r="C48" s="32">
        <v>0.2</v>
      </c>
      <c r="D48" s="33">
        <v>3500000</v>
      </c>
      <c r="E48" s="3" t="s">
        <v>98</v>
      </c>
    </row>
    <row r="49" spans="2:15">
      <c r="B49" s="3">
        <v>4</v>
      </c>
      <c r="C49" s="32">
        <v>0.3</v>
      </c>
      <c r="D49" s="33">
        <v>9500000</v>
      </c>
      <c r="E49" s="3" t="s">
        <v>99</v>
      </c>
    </row>
    <row r="50" spans="2:15">
      <c r="B50" s="3">
        <v>5</v>
      </c>
      <c r="C50" s="32">
        <v>0.35</v>
      </c>
      <c r="D50" s="33">
        <v>14500000</v>
      </c>
      <c r="E50" s="3" t="s">
        <v>100</v>
      </c>
    </row>
    <row r="53" ht="15.5" customHeight="1" spans="2:15">
      <c r="B53" s="22" t="s">
        <v>101</v>
      </c>
    </row>
    <row r="54" ht="28" customHeight="1" spans="2:15">
      <c r="B54" s="23" t="s">
        <v>102</v>
      </c>
      <c r="C54" s="23" t="s">
        <v>103</v>
      </c>
      <c r="D54" s="23" t="s">
        <v>104</v>
      </c>
      <c r="E54" s="23" t="s">
        <v>105</v>
      </c>
      <c r="F54" s="23" t="s">
        <v>106</v>
      </c>
      <c r="G54" s="23" t="s">
        <v>107</v>
      </c>
      <c r="H54" s="23" t="s">
        <v>108</v>
      </c>
      <c r="I54" s="23" t="s">
        <v>109</v>
      </c>
      <c r="J54" s="23" t="s">
        <v>110</v>
      </c>
      <c r="K54" s="23" t="s">
        <v>111</v>
      </c>
      <c r="L54" s="23" t="s">
        <v>112</v>
      </c>
      <c r="M54" s="23" t="s">
        <v>113</v>
      </c>
      <c r="N54" s="23" t="s">
        <v>114</v>
      </c>
      <c r="O54" s="23" t="s">
        <v>115</v>
      </c>
    </row>
    <row r="55" spans="2:15">
      <c r="B55" s="16"/>
      <c r="C55" s="4"/>
      <c r="D55" s="16" t="s">
        <v>116</v>
      </c>
      <c r="E55" s="33">
        <v>0</v>
      </c>
      <c r="F55" s="33">
        <v>0</v>
      </c>
      <c r="G55" s="33">
        <v>0</v>
      </c>
      <c r="H55" s="34">
        <f t="shared" ref="H55:H74" si="0">E55*3</f>
        <v>0</v>
      </c>
      <c r="I55" s="34">
        <f t="shared" ref="I55:I74" si="1">F55*3</f>
        <v>0</v>
      </c>
      <c r="J55" s="34">
        <f t="shared" ref="J55:J74" si="2">G55*3</f>
        <v>0</v>
      </c>
      <c r="K55" s="34">
        <f t="shared" ref="K55:K74" si="3">H55+I55+J55</f>
        <v>0</v>
      </c>
      <c r="L55" s="16">
        <v>3</v>
      </c>
      <c r="M55" s="3">
        <f>COUNTIFS(tbl_khmoi_quy[Sale_Owner],C55,tbl_khmoi_quy[Tinh_KHmoi],"Y")</f>
        <v>0</v>
      </c>
      <c r="N55" s="35">
        <f>IF(L55=0,0,(M55-L55)*khmoi_step)</f>
        <v>-0.03</v>
      </c>
      <c r="O55" s="4" t="s">
        <v>14</v>
      </c>
    </row>
    <row r="56" spans="2:15">
      <c r="B56" s="16"/>
      <c r="C56" s="4"/>
      <c r="D56" s="16" t="s">
        <v>116</v>
      </c>
      <c r="E56" s="33">
        <v>0</v>
      </c>
      <c r="F56" s="33">
        <v>0</v>
      </c>
      <c r="G56" s="33">
        <v>0</v>
      </c>
      <c r="H56" s="34">
        <f t="shared" si="0"/>
        <v>0</v>
      </c>
      <c r="I56" s="34">
        <f t="shared" si="1"/>
        <v>0</v>
      </c>
      <c r="J56" s="34">
        <f t="shared" si="2"/>
        <v>0</v>
      </c>
      <c r="K56" s="34">
        <f t="shared" si="3"/>
        <v>0</v>
      </c>
      <c r="L56" s="16">
        <v>3</v>
      </c>
      <c r="M56" s="3">
        <f>COUNTIFS(tbl_khmoi_quy[Sale_Owner],C56,tbl_khmoi_quy[Tinh_KHmoi],"Y")</f>
        <v>0</v>
      </c>
      <c r="N56" s="35">
        <f>IF(L56=0,0,(M56-L56)*khmoi_step)</f>
        <v>-0.03</v>
      </c>
      <c r="O56" s="4" t="s">
        <v>14</v>
      </c>
    </row>
    <row r="57" spans="2:15">
      <c r="B57" s="16"/>
      <c r="C57" s="4"/>
      <c r="D57" s="16" t="s">
        <v>116</v>
      </c>
      <c r="E57" s="33">
        <v>0</v>
      </c>
      <c r="F57" s="33">
        <v>0</v>
      </c>
      <c r="G57" s="33">
        <v>0</v>
      </c>
      <c r="H57" s="34">
        <f t="shared" si="0"/>
        <v>0</v>
      </c>
      <c r="I57" s="34">
        <f t="shared" si="1"/>
        <v>0</v>
      </c>
      <c r="J57" s="34">
        <f t="shared" si="2"/>
        <v>0</v>
      </c>
      <c r="K57" s="34">
        <f t="shared" si="3"/>
        <v>0</v>
      </c>
      <c r="L57" s="16">
        <v>3</v>
      </c>
      <c r="M57" s="3">
        <f>COUNTIFS(tbl_khmoi_quy[Sale_Owner],C57,tbl_khmoi_quy[Tinh_KHmoi],"Y")</f>
        <v>0</v>
      </c>
      <c r="N57" s="35">
        <f>IF(L57=0,0,(M57-L57)*khmoi_step)</f>
        <v>-0.03</v>
      </c>
      <c r="O57" s="4" t="s">
        <v>14</v>
      </c>
    </row>
    <row r="58" spans="2:15">
      <c r="B58" s="16"/>
      <c r="C58" s="4"/>
      <c r="D58" s="16" t="s">
        <v>116</v>
      </c>
      <c r="E58" s="33">
        <v>0</v>
      </c>
      <c r="F58" s="33">
        <v>0</v>
      </c>
      <c r="G58" s="33">
        <v>0</v>
      </c>
      <c r="H58" s="34">
        <f t="shared" si="0"/>
        <v>0</v>
      </c>
      <c r="I58" s="34">
        <f t="shared" si="1"/>
        <v>0</v>
      </c>
      <c r="J58" s="34">
        <f t="shared" si="2"/>
        <v>0</v>
      </c>
      <c r="K58" s="34">
        <f t="shared" si="3"/>
        <v>0</v>
      </c>
      <c r="L58" s="16">
        <v>3</v>
      </c>
      <c r="M58" s="3">
        <f>COUNTIFS(tbl_khmoi_quy[Sale_Owner],C58,tbl_khmoi_quy[Tinh_KHmoi],"Y")</f>
        <v>0</v>
      </c>
      <c r="N58" s="35">
        <f>IF(L58=0,0,(M58-L58)*khmoi_step)</f>
        <v>-0.03</v>
      </c>
      <c r="O58" s="4" t="s">
        <v>14</v>
      </c>
    </row>
    <row r="59" spans="2:15">
      <c r="B59" s="16"/>
      <c r="C59" s="4"/>
      <c r="D59" s="16" t="s">
        <v>116</v>
      </c>
      <c r="E59" s="33">
        <v>0</v>
      </c>
      <c r="F59" s="33">
        <v>0</v>
      </c>
      <c r="G59" s="33">
        <v>0</v>
      </c>
      <c r="H59" s="34">
        <f t="shared" si="0"/>
        <v>0</v>
      </c>
      <c r="I59" s="34">
        <f t="shared" si="1"/>
        <v>0</v>
      </c>
      <c r="J59" s="34">
        <f t="shared" si="2"/>
        <v>0</v>
      </c>
      <c r="K59" s="34">
        <f t="shared" si="3"/>
        <v>0</v>
      </c>
      <c r="L59" s="16">
        <v>3</v>
      </c>
      <c r="M59" s="3">
        <f>COUNTIFS(tbl_khmoi_quy[Sale_Owner],C59,tbl_khmoi_quy[Tinh_KHmoi],"Y")</f>
        <v>0</v>
      </c>
      <c r="N59" s="35">
        <f>IF(L59=0,0,(M59-L59)*khmoi_step)</f>
        <v>-0.03</v>
      </c>
      <c r="O59" s="4" t="s">
        <v>14</v>
      </c>
    </row>
    <row r="60" ht="29" customHeight="1" spans="2:15">
      <c r="B60" s="16"/>
      <c r="C60" s="4"/>
      <c r="D60" s="16" t="s">
        <v>116</v>
      </c>
      <c r="E60" s="33">
        <v>0</v>
      </c>
      <c r="F60" s="33">
        <v>0</v>
      </c>
      <c r="G60" s="33">
        <v>0</v>
      </c>
      <c r="H60" s="34">
        <f t="shared" si="0"/>
        <v>0</v>
      </c>
      <c r="I60" s="34">
        <f t="shared" si="1"/>
        <v>0</v>
      </c>
      <c r="J60" s="34">
        <f t="shared" si="2"/>
        <v>0</v>
      </c>
      <c r="K60" s="34">
        <f t="shared" si="3"/>
        <v>0</v>
      </c>
      <c r="L60" s="16">
        <v>3</v>
      </c>
      <c r="M60" s="3">
        <f>COUNTIFS(tbl_khmoi_quy[Sale_Owner],C60,tbl_khmoi_quy[Tinh_KHmoi],"Y")</f>
        <v>0</v>
      </c>
      <c r="N60" s="35">
        <f>IF(L60=0,0,(M60-L60)*khmoi_step)</f>
        <v>-0.03</v>
      </c>
      <c r="O60" s="4" t="s">
        <v>117</v>
      </c>
    </row>
    <row r="61" spans="2:15">
      <c r="B61" s="16"/>
      <c r="C61" s="4"/>
      <c r="D61" s="16" t="s">
        <v>116</v>
      </c>
      <c r="E61" s="33">
        <v>0</v>
      </c>
      <c r="F61" s="33">
        <v>0</v>
      </c>
      <c r="G61" s="33">
        <v>0</v>
      </c>
      <c r="H61" s="34">
        <f t="shared" si="0"/>
        <v>0</v>
      </c>
      <c r="I61" s="34">
        <f t="shared" si="1"/>
        <v>0</v>
      </c>
      <c r="J61" s="34">
        <f t="shared" si="2"/>
        <v>0</v>
      </c>
      <c r="K61" s="34">
        <f t="shared" si="3"/>
        <v>0</v>
      </c>
      <c r="L61" s="16">
        <v>0</v>
      </c>
      <c r="M61" s="3">
        <f>COUNTIFS(tbl_khmoi_quy[Sale_Owner],C61,tbl_khmoi_quy[Tinh_KHmoi],"Y")</f>
        <v>0</v>
      </c>
      <c r="N61" s="35">
        <f>IF(L61=0,0,(M61-L61)*khmoi_step)</f>
        <v>0</v>
      </c>
      <c r="O61" s="4" t="s">
        <v>118</v>
      </c>
    </row>
    <row r="62" spans="2:15">
      <c r="B62" s="16"/>
      <c r="C62" s="4"/>
      <c r="D62" s="16" t="s">
        <v>119</v>
      </c>
      <c r="E62" s="33">
        <v>0</v>
      </c>
      <c r="F62" s="33">
        <v>0</v>
      </c>
      <c r="G62" s="33">
        <v>0</v>
      </c>
      <c r="H62" s="34">
        <f t="shared" si="0"/>
        <v>0</v>
      </c>
      <c r="I62" s="34">
        <f t="shared" si="1"/>
        <v>0</v>
      </c>
      <c r="J62" s="34">
        <f t="shared" si="2"/>
        <v>0</v>
      </c>
      <c r="K62" s="34">
        <f t="shared" si="3"/>
        <v>0</v>
      </c>
      <c r="L62" s="16">
        <v>0</v>
      </c>
      <c r="M62" s="3">
        <f>COUNTIFS(tbl_khmoi_quy[Sale_Owner],C62,tbl_khmoi_quy[Tinh_KHmoi],"Y")</f>
        <v>0</v>
      </c>
      <c r="N62" s="35">
        <f>IF(L62=0,0,(M62-L62)*khmoi_step)</f>
        <v>0</v>
      </c>
      <c r="O62" s="4" t="s">
        <v>14</v>
      </c>
    </row>
    <row r="63" spans="2:15">
      <c r="B63" s="16"/>
      <c r="C63" s="4"/>
      <c r="D63" s="16" t="s">
        <v>120</v>
      </c>
      <c r="E63" s="33">
        <v>0</v>
      </c>
      <c r="F63" s="33">
        <v>0</v>
      </c>
      <c r="G63" s="33">
        <v>0</v>
      </c>
      <c r="H63" s="34">
        <f t="shared" si="0"/>
        <v>0</v>
      </c>
      <c r="I63" s="34">
        <f t="shared" si="1"/>
        <v>0</v>
      </c>
      <c r="J63" s="34">
        <f t="shared" si="2"/>
        <v>0</v>
      </c>
      <c r="K63" s="34">
        <f t="shared" si="3"/>
        <v>0</v>
      </c>
      <c r="L63" s="16">
        <v>0</v>
      </c>
      <c r="M63" s="3">
        <f>COUNTIFS(tbl_khmoi_quy[Sale_Owner],C63,tbl_khmoi_quy[Tinh_KHmoi],"Y")</f>
        <v>0</v>
      </c>
      <c r="N63" s="35">
        <f>IF(L63=0,0,(M63-L63)*khmoi_step)</f>
        <v>0</v>
      </c>
      <c r="O63" s="4" t="s">
        <v>121</v>
      </c>
    </row>
    <row r="64" spans="2:15">
      <c r="B64" s="16"/>
      <c r="C64" s="4"/>
      <c r="D64" s="16" t="s">
        <v>119</v>
      </c>
      <c r="E64" s="33">
        <v>0</v>
      </c>
      <c r="F64" s="33">
        <v>0</v>
      </c>
      <c r="G64" s="33">
        <v>0</v>
      </c>
      <c r="H64" s="34">
        <f t="shared" si="0"/>
        <v>0</v>
      </c>
      <c r="I64" s="34">
        <f t="shared" si="1"/>
        <v>0</v>
      </c>
      <c r="J64" s="34">
        <f t="shared" si="2"/>
        <v>0</v>
      </c>
      <c r="K64" s="34">
        <f t="shared" si="3"/>
        <v>0</v>
      </c>
      <c r="L64" s="16">
        <v>0</v>
      </c>
      <c r="M64" s="3">
        <f>COUNTIFS(tbl_khmoi_quy[Sale_Owner],C64,tbl_khmoi_quy[Tinh_KHmoi],"Y")</f>
        <v>0</v>
      </c>
      <c r="N64" s="35">
        <f>IF(L64=0,0,(M64-L64)*khmoi_step)</f>
        <v>0</v>
      </c>
      <c r="O64" s="4" t="s">
        <v>14</v>
      </c>
    </row>
    <row r="65" spans="2:15">
      <c r="B65" s="16"/>
      <c r="C65" s="4"/>
      <c r="D65" s="16" t="s">
        <v>119</v>
      </c>
      <c r="E65" s="33">
        <v>0</v>
      </c>
      <c r="F65" s="33">
        <v>0</v>
      </c>
      <c r="G65" s="33">
        <v>0</v>
      </c>
      <c r="H65" s="34">
        <f t="shared" si="0"/>
        <v>0</v>
      </c>
      <c r="I65" s="34">
        <f t="shared" si="1"/>
        <v>0</v>
      </c>
      <c r="J65" s="34">
        <f t="shared" si="2"/>
        <v>0</v>
      </c>
      <c r="K65" s="34">
        <f t="shared" si="3"/>
        <v>0</v>
      </c>
      <c r="L65" s="16">
        <v>0</v>
      </c>
      <c r="M65" s="3">
        <f>COUNTIFS(tbl_khmoi_quy[Sale_Owner],C65,tbl_khmoi_quy[Tinh_KHmoi],"Y")</f>
        <v>0</v>
      </c>
      <c r="N65" s="35">
        <f>IF(L65=0,0,(M65-L65)*khmoi_step)</f>
        <v>0</v>
      </c>
      <c r="O65" s="4" t="s">
        <v>14</v>
      </c>
    </row>
    <row r="66" spans="2:15">
      <c r="B66" s="16"/>
      <c r="C66" s="4"/>
      <c r="D66" s="16" t="s">
        <v>119</v>
      </c>
      <c r="E66" s="33">
        <v>0</v>
      </c>
      <c r="F66" s="33">
        <v>0</v>
      </c>
      <c r="G66" s="33">
        <v>0</v>
      </c>
      <c r="H66" s="34">
        <f t="shared" si="0"/>
        <v>0</v>
      </c>
      <c r="I66" s="34">
        <f t="shared" si="1"/>
        <v>0</v>
      </c>
      <c r="J66" s="34">
        <f t="shared" si="2"/>
        <v>0</v>
      </c>
      <c r="K66" s="34">
        <f t="shared" si="3"/>
        <v>0</v>
      </c>
      <c r="L66" s="16">
        <v>0</v>
      </c>
      <c r="M66" s="3">
        <f>COUNTIFS(tbl_khmoi_quy[Sale_Owner],C66,tbl_khmoi_quy[Tinh_KHmoi],"Y")</f>
        <v>0</v>
      </c>
      <c r="N66" s="35">
        <f>IF(L66=0,0,(M66-L66)*khmoi_step)</f>
        <v>0</v>
      </c>
      <c r="O66" s="4" t="s">
        <v>122</v>
      </c>
    </row>
    <row r="67" spans="2:15">
      <c r="B67" s="16"/>
      <c r="C67" s="4"/>
      <c r="D67" s="16" t="s">
        <v>119</v>
      </c>
      <c r="E67" s="33">
        <v>0</v>
      </c>
      <c r="F67" s="33">
        <v>0</v>
      </c>
      <c r="G67" s="33">
        <v>0</v>
      </c>
      <c r="H67" s="34">
        <f t="shared" si="0"/>
        <v>0</v>
      </c>
      <c r="I67" s="34">
        <f t="shared" si="1"/>
        <v>0</v>
      </c>
      <c r="J67" s="34">
        <f t="shared" si="2"/>
        <v>0</v>
      </c>
      <c r="K67" s="34">
        <f t="shared" si="3"/>
        <v>0</v>
      </c>
      <c r="L67" s="16">
        <v>0</v>
      </c>
      <c r="M67" s="3">
        <f>COUNTIFS(tbl_khmoi_quy[Sale_Owner],C67,tbl_khmoi_quy[Tinh_KHmoi],"Y")</f>
        <v>0</v>
      </c>
      <c r="N67" s="35">
        <f>IF(L67=0,0,(M67-L67)*khmoi_step)</f>
        <v>0</v>
      </c>
      <c r="O67" s="4" t="s">
        <v>123</v>
      </c>
    </row>
    <row r="68" spans="2:15">
      <c r="B68" s="16"/>
      <c r="C68" s="4"/>
      <c r="D68" s="16" t="s">
        <v>124</v>
      </c>
      <c r="E68" s="33">
        <v>0</v>
      </c>
      <c r="F68" s="33">
        <v>0</v>
      </c>
      <c r="G68" s="33">
        <v>0</v>
      </c>
      <c r="H68" s="34">
        <f t="shared" si="0"/>
        <v>0</v>
      </c>
      <c r="I68" s="34">
        <f t="shared" si="1"/>
        <v>0</v>
      </c>
      <c r="J68" s="34">
        <f t="shared" si="2"/>
        <v>0</v>
      </c>
      <c r="K68" s="34">
        <f t="shared" si="3"/>
        <v>0</v>
      </c>
      <c r="L68" s="16">
        <v>0</v>
      </c>
      <c r="M68" s="3">
        <f>COUNTIFS(tbl_khmoi_quy[Sale_Owner],C68,tbl_khmoi_quy[Tinh_KHmoi],"Y")</f>
        <v>0</v>
      </c>
      <c r="N68" s="35">
        <f>IF(L68=0,0,(M68-L68)*khmoi_step)</f>
        <v>0</v>
      </c>
      <c r="O68" s="4" t="s">
        <v>14</v>
      </c>
    </row>
    <row r="69" spans="2:15">
      <c r="B69" s="16"/>
      <c r="C69" s="4"/>
      <c r="D69" s="16" t="s">
        <v>124</v>
      </c>
      <c r="E69" s="33">
        <v>0</v>
      </c>
      <c r="F69" s="33">
        <v>0</v>
      </c>
      <c r="G69" s="33">
        <v>0</v>
      </c>
      <c r="H69" s="34">
        <f t="shared" si="0"/>
        <v>0</v>
      </c>
      <c r="I69" s="34">
        <f t="shared" si="1"/>
        <v>0</v>
      </c>
      <c r="J69" s="34">
        <f t="shared" si="2"/>
        <v>0</v>
      </c>
      <c r="K69" s="34">
        <f t="shared" si="3"/>
        <v>0</v>
      </c>
      <c r="L69" s="16">
        <v>0</v>
      </c>
      <c r="M69" s="3">
        <f>COUNTIFS(tbl_khmoi_quy[Sale_Owner],C69,tbl_khmoi_quy[Tinh_KHmoi],"Y")</f>
        <v>0</v>
      </c>
      <c r="N69" s="35">
        <f>IF(L69=0,0,(M69-L69)*khmoi_step)</f>
        <v>0</v>
      </c>
      <c r="O69" s="4" t="s">
        <v>14</v>
      </c>
    </row>
    <row r="70" spans="2:15">
      <c r="B70" s="16"/>
      <c r="C70" s="4"/>
      <c r="D70" s="16" t="s">
        <v>125</v>
      </c>
      <c r="E70" s="33">
        <v>0</v>
      </c>
      <c r="F70" s="33">
        <v>0</v>
      </c>
      <c r="G70" s="33">
        <v>0</v>
      </c>
      <c r="H70" s="34">
        <f t="shared" si="0"/>
        <v>0</v>
      </c>
      <c r="I70" s="34">
        <f t="shared" si="1"/>
        <v>0</v>
      </c>
      <c r="J70" s="34">
        <f t="shared" si="2"/>
        <v>0</v>
      </c>
      <c r="K70" s="34">
        <f t="shared" si="3"/>
        <v>0</v>
      </c>
      <c r="L70" s="16">
        <v>0</v>
      </c>
      <c r="M70" s="3">
        <f>COUNTIFS(tbl_khmoi_quy[Sale_Owner],C70,tbl_khmoi_quy[Tinh_KHmoi],"Y")</f>
        <v>0</v>
      </c>
      <c r="N70" s="35">
        <f>IF(L70=0,0,(M70-L70)*khmoi_step)</f>
        <v>0</v>
      </c>
      <c r="O70" s="4" t="s">
        <v>14</v>
      </c>
    </row>
    <row r="71" spans="2:15">
      <c r="B71" s="16"/>
      <c r="C71" s="4"/>
      <c r="D71" s="16" t="s">
        <v>125</v>
      </c>
      <c r="E71" s="33">
        <v>0</v>
      </c>
      <c r="F71" s="33">
        <v>0</v>
      </c>
      <c r="G71" s="33">
        <v>0</v>
      </c>
      <c r="H71" s="34">
        <f t="shared" si="0"/>
        <v>0</v>
      </c>
      <c r="I71" s="34">
        <f t="shared" si="1"/>
        <v>0</v>
      </c>
      <c r="J71" s="34">
        <f t="shared" si="2"/>
        <v>0</v>
      </c>
      <c r="K71" s="34">
        <f t="shared" si="3"/>
        <v>0</v>
      </c>
      <c r="L71" s="16">
        <v>0</v>
      </c>
      <c r="M71" s="3">
        <f>COUNTIFS(tbl_khmoi_quy[Sale_Owner],C71,tbl_khmoi_quy[Tinh_KHmoi],"Y")</f>
        <v>0</v>
      </c>
      <c r="N71" s="35">
        <f>IF(L71=0,0,(M71-L71)*khmoi_step)</f>
        <v>0</v>
      </c>
      <c r="O71" s="4" t="s">
        <v>14</v>
      </c>
    </row>
    <row r="72" spans="2:15">
      <c r="B72" s="16"/>
      <c r="C72" s="4"/>
      <c r="D72" s="16" t="s">
        <v>125</v>
      </c>
      <c r="E72" s="33">
        <v>0</v>
      </c>
      <c r="F72" s="33">
        <v>0</v>
      </c>
      <c r="G72" s="33">
        <v>0</v>
      </c>
      <c r="H72" s="34">
        <f t="shared" si="0"/>
        <v>0</v>
      </c>
      <c r="I72" s="34">
        <f t="shared" si="1"/>
        <v>0</v>
      </c>
      <c r="J72" s="34">
        <f t="shared" si="2"/>
        <v>0</v>
      </c>
      <c r="K72" s="34">
        <f t="shared" si="3"/>
        <v>0</v>
      </c>
      <c r="L72" s="16">
        <v>0</v>
      </c>
      <c r="M72" s="3">
        <f>COUNTIFS(tbl_khmoi_quy[Sale_Owner],C72,tbl_khmoi_quy[Tinh_KHmoi],"Y")</f>
        <v>0</v>
      </c>
      <c r="N72" s="35">
        <f>IF(L72=0,0,(M72-L72)*khmoi_step)</f>
        <v>0</v>
      </c>
      <c r="O72" s="4" t="s">
        <v>14</v>
      </c>
    </row>
    <row r="73" spans="2:15">
      <c r="B73" s="16"/>
      <c r="C73" s="4"/>
      <c r="D73" s="16" t="s">
        <v>125</v>
      </c>
      <c r="E73" s="33">
        <v>0</v>
      </c>
      <c r="F73" s="33">
        <v>0</v>
      </c>
      <c r="G73" s="33">
        <v>0</v>
      </c>
      <c r="H73" s="34">
        <f t="shared" si="0"/>
        <v>0</v>
      </c>
      <c r="I73" s="34">
        <f t="shared" si="1"/>
        <v>0</v>
      </c>
      <c r="J73" s="34">
        <f t="shared" si="2"/>
        <v>0</v>
      </c>
      <c r="K73" s="34">
        <f t="shared" si="3"/>
        <v>0</v>
      </c>
      <c r="L73" s="16">
        <v>0</v>
      </c>
      <c r="M73" s="3">
        <f>COUNTIFS(tbl_khmoi_quy[Sale_Owner],C73,tbl_khmoi_quy[Tinh_KHmoi],"Y")</f>
        <v>0</v>
      </c>
      <c r="N73" s="35">
        <f>IF(L73=0,0,(M73-L73)*khmoi_step)</f>
        <v>0</v>
      </c>
      <c r="O73" s="4" t="s">
        <v>14</v>
      </c>
    </row>
    <row r="74" spans="2:15">
      <c r="B74" s="16"/>
      <c r="C74" s="4"/>
      <c r="D74" s="16" t="s">
        <v>125</v>
      </c>
      <c r="E74" s="33">
        <v>0</v>
      </c>
      <c r="F74" s="33">
        <v>0</v>
      </c>
      <c r="G74" s="33">
        <v>0</v>
      </c>
      <c r="H74" s="34">
        <f t="shared" si="0"/>
        <v>0</v>
      </c>
      <c r="I74" s="34">
        <f t="shared" si="1"/>
        <v>0</v>
      </c>
      <c r="J74" s="34">
        <f t="shared" si="2"/>
        <v>0</v>
      </c>
      <c r="K74" s="34">
        <f t="shared" si="3"/>
        <v>0</v>
      </c>
      <c r="L74" s="16">
        <v>0</v>
      </c>
      <c r="M74" s="3">
        <f>COUNTIFS(tbl_khmoi_quy[Sale_Owner],C74,tbl_khmoi_quy[Tinh_KHmoi],"Y")</f>
        <v>0</v>
      </c>
      <c r="N74" s="35">
        <f>IF(L74=0,0,(M74-L74)*khmoi_step)</f>
        <v>0</v>
      </c>
      <c r="O74" s="4" t="s">
        <v>14</v>
      </c>
    </row>
  </sheetData>
  <mergeCells count="7">
    <mergeCell ref="B4:G4"/>
    <mergeCell ref="B11:G11"/>
    <mergeCell ref="B28:G28"/>
    <mergeCell ref="B34:G34"/>
    <mergeCell ref="B39:G39"/>
    <mergeCell ref="B44:E44"/>
    <mergeCell ref="B53:O53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U350"/>
  <sheetViews>
    <sheetView showGridLines="0" workbookViewId="0">
      <pane xSplit="3" ySplit="5" topLeftCell="D16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2" max="2" width="8" customWidth="1"/>
    <col min="3" max="3" width="18" customWidth="1"/>
    <col min="4" max="4" width="24" customWidth="1"/>
    <col min="5" max="5" width="32" customWidth="1"/>
    <col min="6" max="6" width="22" customWidth="1"/>
    <col min="7" max="7" width="18" customWidth="1"/>
    <col min="8" max="8" width="8" customWidth="1"/>
    <col min="9" max="11" width="15" customWidth="1"/>
    <col min="12" max="12" width="11" customWidth="1"/>
    <col min="13" max="13" width="9" customWidth="1"/>
    <col min="14" max="14" width="12" customWidth="1"/>
    <col min="16" max="16" width="13" customWidth="1"/>
    <col min="17" max="17" width="42" customWidth="1"/>
    <col min="18" max="18" width="16" customWidth="1"/>
    <col min="19" max="19" width="18" customWidth="1"/>
    <col min="20" max="20" width="14" customWidth="1"/>
    <col min="21" max="21" width="16" customWidth="1"/>
    <col min="22" max="22" width="28" customWidth="1"/>
    <col min="24" max="24" width="8" customWidth="1"/>
    <col min="25" max="25" width="20" customWidth="1"/>
    <col min="26" max="27" width="16" customWidth="1"/>
    <col min="28" max="28" width="22" customWidth="1"/>
    <col min="29" max="29" width="28" customWidth="1"/>
    <col min="30" max="30" width="10" customWidth="1"/>
    <col min="31" max="31" width="14" customWidth="1"/>
    <col min="34" max="34" width="12" customWidth="1"/>
    <col min="35" max="35" width="26" customWidth="1"/>
    <col min="36" max="38" width="16" customWidth="1"/>
    <col min="40" max="40" width="5" customWidth="1"/>
    <col min="41" max="41" width="26" customWidth="1"/>
    <col min="42" max="42" width="42" customWidth="1"/>
    <col min="43" max="44" width="13" customWidth="1"/>
    <col min="45" max="45" width="26" customWidth="1"/>
    <col min="46" max="46" width="32" customWidth="1"/>
    <col min="47" max="47" width="10" customWidth="1"/>
  </cols>
  <sheetData>
    <row r="2" ht="18" customHeight="1" spans="2:47">
      <c r="B2" s="21" t="s">
        <v>126</v>
      </c>
    </row>
    <row r="4" ht="15.5" customHeight="1" spans="2:47">
      <c r="B4" s="22" t="s">
        <v>127</v>
      </c>
      <c r="P4" s="22" t="s">
        <v>128</v>
      </c>
      <c r="X4" s="22" t="s">
        <v>129</v>
      </c>
      <c r="AH4" s="22" t="s">
        <v>130</v>
      </c>
      <c r="AN4" s="22" t="s">
        <v>131</v>
      </c>
    </row>
    <row r="5" ht="28" customHeight="1" spans="2:47">
      <c r="B5" s="23" t="s">
        <v>132</v>
      </c>
      <c r="C5" s="23" t="s">
        <v>133</v>
      </c>
      <c r="D5" s="23" t="s">
        <v>134</v>
      </c>
      <c r="E5" s="23" t="s">
        <v>135</v>
      </c>
      <c r="F5" s="23" t="s">
        <v>136</v>
      </c>
      <c r="G5" s="23" t="s">
        <v>137</v>
      </c>
      <c r="H5" s="23" t="s">
        <v>104</v>
      </c>
      <c r="I5" s="23" t="s">
        <v>138</v>
      </c>
      <c r="J5" s="23" t="s">
        <v>139</v>
      </c>
      <c r="K5" s="23" t="s">
        <v>140</v>
      </c>
      <c r="L5" s="23" t="s">
        <v>141</v>
      </c>
      <c r="M5" s="23" t="s">
        <v>142</v>
      </c>
      <c r="N5" s="23" t="s">
        <v>119</v>
      </c>
      <c r="P5" s="23" t="s">
        <v>143</v>
      </c>
      <c r="Q5" s="23" t="s">
        <v>144</v>
      </c>
      <c r="R5" s="23" t="s">
        <v>145</v>
      </c>
      <c r="S5" s="23" t="s">
        <v>146</v>
      </c>
      <c r="T5" s="23" t="s">
        <v>147</v>
      </c>
      <c r="U5" s="23" t="s">
        <v>148</v>
      </c>
      <c r="V5" s="23" t="s">
        <v>115</v>
      </c>
      <c r="X5" s="23" t="s">
        <v>132</v>
      </c>
      <c r="Y5" s="23" t="s">
        <v>133</v>
      </c>
      <c r="Z5" s="23" t="s">
        <v>149</v>
      </c>
      <c r="AA5" s="23" t="s">
        <v>150</v>
      </c>
      <c r="AB5" s="23" t="s">
        <v>134</v>
      </c>
      <c r="AC5" s="23" t="s">
        <v>135</v>
      </c>
      <c r="AD5" s="23" t="s">
        <v>151</v>
      </c>
      <c r="AE5" s="23" t="s">
        <v>152</v>
      </c>
      <c r="AH5" s="23" t="s">
        <v>102</v>
      </c>
      <c r="AI5" s="23" t="s">
        <v>103</v>
      </c>
      <c r="AJ5" s="23" t="s">
        <v>153</v>
      </c>
      <c r="AK5" s="23" t="s">
        <v>154</v>
      </c>
      <c r="AL5" s="23" t="s">
        <v>155</v>
      </c>
      <c r="AN5" s="23" t="s">
        <v>2</v>
      </c>
      <c r="AO5" s="23" t="s">
        <v>156</v>
      </c>
      <c r="AP5" s="23" t="s">
        <v>157</v>
      </c>
      <c r="AQ5" s="23" t="s">
        <v>158</v>
      </c>
      <c r="AR5" s="23" t="s">
        <v>159</v>
      </c>
      <c r="AS5" s="23" t="s">
        <v>160</v>
      </c>
      <c r="AT5" s="23" t="s">
        <v>115</v>
      </c>
      <c r="AU5" s="23" t="s">
        <v>161</v>
      </c>
    </row>
    <row r="6" ht="29" customHeight="1" spans="2:47">
      <c r="B6" s="16"/>
      <c r="C6" s="4"/>
      <c r="D6" s="4"/>
      <c r="E6" s="4"/>
      <c r="F6" s="4"/>
      <c r="G6" s="4"/>
      <c r="H6" s="4"/>
      <c r="I6" s="6"/>
      <c r="J6" s="6"/>
      <c r="K6" s="6"/>
      <c r="L6" s="4"/>
      <c r="M6" s="4"/>
      <c r="N6" s="4"/>
      <c r="P6" s="4"/>
      <c r="Q6" s="4"/>
      <c r="R6" s="24"/>
      <c r="S6" s="4"/>
      <c r="T6" s="4"/>
      <c r="U6" s="25"/>
      <c r="V6" s="4"/>
      <c r="X6" s="16"/>
      <c r="Y6" s="4"/>
      <c r="Z6" s="24"/>
      <c r="AA6" s="25"/>
      <c r="AB6" s="4"/>
      <c r="AC6" s="4"/>
      <c r="AD6" s="16"/>
      <c r="AE6" s="25"/>
      <c r="AH6" s="4"/>
      <c r="AI6" s="4"/>
      <c r="AJ6" s="25"/>
      <c r="AK6" s="25"/>
      <c r="AL6" s="25"/>
      <c r="AN6" s="16"/>
      <c r="AO6" s="4"/>
      <c r="AP6" s="4"/>
      <c r="AQ6" s="26"/>
      <c r="AR6" s="27"/>
      <c r="AS6" s="4"/>
      <c r="AT6" s="4"/>
      <c r="AU6" s="3"/>
    </row>
    <row r="7" ht="29" customHeight="1" spans="2:47">
      <c r="B7" s="16"/>
      <c r="C7" s="4"/>
      <c r="D7" s="4"/>
      <c r="E7" s="4"/>
      <c r="F7" s="4"/>
      <c r="G7" s="4"/>
      <c r="H7" s="4"/>
      <c r="I7" s="6"/>
      <c r="J7" s="6"/>
      <c r="K7" s="6"/>
      <c r="L7" s="4"/>
      <c r="M7" s="4"/>
      <c r="N7" s="4"/>
      <c r="P7" s="4"/>
      <c r="Q7" s="4"/>
      <c r="R7" s="24"/>
      <c r="S7" s="4"/>
      <c r="T7" s="4"/>
      <c r="U7" s="25"/>
      <c r="V7" s="4"/>
      <c r="X7" s="16"/>
      <c r="Y7" s="4"/>
      <c r="Z7" s="24"/>
      <c r="AA7" s="25"/>
      <c r="AB7" s="4"/>
      <c r="AC7" s="4"/>
      <c r="AD7" s="16"/>
      <c r="AE7" s="25"/>
      <c r="AH7" s="4"/>
      <c r="AI7" s="4"/>
      <c r="AJ7" s="25"/>
      <c r="AK7" s="25"/>
      <c r="AL7" s="25"/>
      <c r="AN7" s="16"/>
      <c r="AO7" s="4"/>
      <c r="AP7" s="4"/>
      <c r="AQ7" s="26"/>
      <c r="AR7" s="27"/>
      <c r="AS7" s="4"/>
      <c r="AT7" s="4"/>
      <c r="AU7" s="3"/>
    </row>
    <row r="8" ht="29" customHeight="1" spans="2:47">
      <c r="B8" s="16"/>
      <c r="C8" s="4"/>
      <c r="D8" s="4"/>
      <c r="E8" s="4"/>
      <c r="F8" s="4"/>
      <c r="G8" s="4"/>
      <c r="H8" s="4"/>
      <c r="I8" s="6"/>
      <c r="J8" s="6"/>
      <c r="K8" s="6"/>
      <c r="L8" s="4"/>
      <c r="M8" s="4"/>
      <c r="N8" s="4"/>
      <c r="P8" s="4"/>
      <c r="Q8" s="4"/>
      <c r="R8" s="24"/>
      <c r="S8" s="4"/>
      <c r="T8" s="4"/>
      <c r="U8" s="25"/>
      <c r="V8" s="4"/>
      <c r="X8" s="16"/>
      <c r="Y8" s="4"/>
      <c r="Z8" s="24"/>
      <c r="AA8" s="25"/>
      <c r="AB8" s="4"/>
      <c r="AC8" s="4"/>
      <c r="AD8" s="16"/>
      <c r="AE8" s="25"/>
      <c r="AH8" s="4"/>
      <c r="AI8" s="4"/>
      <c r="AJ8" s="25"/>
      <c r="AK8" s="25"/>
      <c r="AL8" s="25"/>
      <c r="AN8" s="16"/>
      <c r="AO8" s="4"/>
      <c r="AP8" s="4"/>
      <c r="AQ8" s="26"/>
      <c r="AR8" s="27"/>
      <c r="AS8" s="4"/>
      <c r="AT8" s="4"/>
      <c r="AU8" s="3"/>
    </row>
    <row r="9" ht="29" customHeight="1" spans="2:47">
      <c r="B9" s="16"/>
      <c r="C9" s="4"/>
      <c r="D9" s="4"/>
      <c r="E9" s="4"/>
      <c r="F9" s="4"/>
      <c r="G9" s="4"/>
      <c r="H9" s="4"/>
      <c r="I9" s="6"/>
      <c r="J9" s="6"/>
      <c r="K9" s="6"/>
      <c r="L9" s="4"/>
      <c r="M9" s="4"/>
      <c r="N9" s="4"/>
      <c r="P9" s="4"/>
      <c r="Q9" s="4"/>
      <c r="R9" s="24"/>
      <c r="S9" s="4"/>
      <c r="T9" s="4"/>
      <c r="U9" s="25"/>
      <c r="V9" s="4"/>
      <c r="X9" s="16"/>
      <c r="Y9" s="4"/>
      <c r="Z9" s="24"/>
      <c r="AA9" s="25"/>
      <c r="AB9" s="4"/>
      <c r="AC9" s="4"/>
      <c r="AD9" s="16"/>
      <c r="AE9" s="25"/>
      <c r="AH9" s="4"/>
      <c r="AI9" s="4"/>
      <c r="AJ9" s="25"/>
      <c r="AK9" s="25"/>
      <c r="AL9" s="25"/>
      <c r="AN9" s="16"/>
      <c r="AO9" s="4"/>
      <c r="AP9" s="4"/>
      <c r="AQ9" s="26"/>
      <c r="AR9" s="27"/>
      <c r="AS9" s="4"/>
      <c r="AT9" s="4"/>
      <c r="AU9" s="3"/>
    </row>
    <row r="10" ht="29" customHeight="1" spans="2:47">
      <c r="B10" s="16"/>
      <c r="C10" s="4"/>
      <c r="D10" s="4"/>
      <c r="E10" s="4"/>
      <c r="F10" s="4"/>
      <c r="G10" s="4"/>
      <c r="H10" s="4"/>
      <c r="I10" s="6"/>
      <c r="J10" s="6"/>
      <c r="K10" s="6"/>
      <c r="L10" s="4"/>
      <c r="M10" s="4"/>
      <c r="N10" s="4"/>
      <c r="P10" s="4"/>
      <c r="Q10" s="4"/>
      <c r="R10" s="24"/>
      <c r="S10" s="4"/>
      <c r="T10" s="4"/>
      <c r="U10" s="25"/>
      <c r="V10" s="4"/>
      <c r="X10" s="16"/>
      <c r="Y10" s="4"/>
      <c r="Z10" s="24"/>
      <c r="AA10" s="25"/>
      <c r="AB10" s="4"/>
      <c r="AC10" s="4"/>
      <c r="AD10" s="16"/>
      <c r="AE10" s="25"/>
      <c r="AH10" s="4"/>
      <c r="AI10" s="4"/>
      <c r="AJ10" s="25"/>
      <c r="AK10" s="25"/>
      <c r="AL10" s="25"/>
      <c r="AN10" s="16"/>
      <c r="AO10" s="4"/>
      <c r="AP10" s="4"/>
      <c r="AQ10" s="26"/>
      <c r="AR10" s="27"/>
      <c r="AS10" s="4"/>
      <c r="AT10" s="4"/>
      <c r="AU10" s="3"/>
    </row>
    <row r="11" spans="2:47">
      <c r="B11" s="16"/>
      <c r="C11" s="4"/>
      <c r="D11" s="4"/>
      <c r="E11" s="4"/>
      <c r="F11" s="4"/>
      <c r="G11" s="4"/>
      <c r="H11" s="4"/>
      <c r="I11" s="6"/>
      <c r="J11" s="6"/>
      <c r="K11" s="6"/>
      <c r="L11" s="4"/>
      <c r="M11" s="4"/>
      <c r="N11" s="4"/>
      <c r="P11" s="4"/>
      <c r="Q11" s="4"/>
      <c r="R11" s="24"/>
      <c r="S11" s="4"/>
      <c r="T11" s="4"/>
      <c r="U11" s="25"/>
      <c r="V11" s="4"/>
      <c r="X11" s="16"/>
      <c r="Y11" s="4"/>
      <c r="Z11" s="24"/>
      <c r="AA11" s="25"/>
      <c r="AB11" s="4"/>
      <c r="AC11" s="4"/>
      <c r="AD11" s="16"/>
      <c r="AE11" s="25"/>
      <c r="AH11" s="4"/>
      <c r="AI11" s="4"/>
      <c r="AJ11" s="25"/>
      <c r="AK11" s="25"/>
      <c r="AL11" s="25"/>
      <c r="AN11" s="16"/>
      <c r="AO11" s="4"/>
      <c r="AP11" s="4"/>
      <c r="AQ11" s="26"/>
      <c r="AR11" s="27"/>
      <c r="AS11" s="4"/>
      <c r="AT11" s="4"/>
      <c r="AU11" s="3"/>
    </row>
    <row r="12" spans="2:47">
      <c r="B12" s="16"/>
      <c r="C12" s="4"/>
      <c r="D12" s="4"/>
      <c r="E12" s="4"/>
      <c r="F12" s="4"/>
      <c r="G12" s="4"/>
      <c r="H12" s="4"/>
      <c r="I12" s="6"/>
      <c r="J12" s="6"/>
      <c r="K12" s="6"/>
      <c r="L12" s="4"/>
      <c r="M12" s="4"/>
      <c r="N12" s="4"/>
      <c r="AH12" s="4"/>
      <c r="AI12" s="4"/>
      <c r="AJ12" s="25"/>
      <c r="AK12" s="25"/>
      <c r="AL12" s="25"/>
      <c r="AN12" s="16"/>
      <c r="AO12" s="4"/>
      <c r="AP12" s="4"/>
      <c r="AQ12" s="26"/>
      <c r="AR12" s="27"/>
      <c r="AS12" s="4"/>
      <c r="AT12" s="4"/>
      <c r="AU12" s="3"/>
    </row>
    <row r="13" spans="2:47">
      <c r="B13" s="16"/>
      <c r="C13" s="4"/>
      <c r="D13" s="4"/>
      <c r="E13" s="4"/>
      <c r="F13" s="4"/>
      <c r="G13" s="4"/>
      <c r="H13" s="4"/>
      <c r="I13" s="6"/>
      <c r="J13" s="6"/>
      <c r="K13" s="6"/>
      <c r="L13" s="4"/>
      <c r="M13" s="4"/>
      <c r="N13" s="4"/>
      <c r="AN13" s="16"/>
      <c r="AO13" s="4"/>
      <c r="AP13" s="4"/>
      <c r="AQ13" s="26"/>
      <c r="AR13" s="27"/>
      <c r="AS13" s="4"/>
      <c r="AT13" s="4"/>
      <c r="AU13" s="3"/>
    </row>
    <row r="14" ht="29" customHeight="1" spans="2:47">
      <c r="B14" s="16"/>
      <c r="C14" s="4"/>
      <c r="D14" s="4"/>
      <c r="E14" s="4"/>
      <c r="F14" s="4"/>
      <c r="G14" s="4"/>
      <c r="H14" s="4"/>
      <c r="I14" s="6"/>
      <c r="J14" s="6"/>
      <c r="K14" s="6"/>
      <c r="L14" s="4"/>
      <c r="M14" s="4"/>
      <c r="N14" s="4"/>
      <c r="AN14" s="16"/>
      <c r="AO14" s="4"/>
      <c r="AP14" s="4"/>
      <c r="AQ14" s="26"/>
      <c r="AR14" s="27"/>
      <c r="AS14" s="4"/>
      <c r="AT14" s="4"/>
      <c r="AU14" s="3"/>
    </row>
    <row r="15" spans="2:47">
      <c r="B15" s="16"/>
      <c r="C15" s="4"/>
      <c r="D15" s="4"/>
      <c r="E15" s="4"/>
      <c r="F15" s="4"/>
      <c r="G15" s="4"/>
      <c r="H15" s="4"/>
      <c r="I15" s="6"/>
      <c r="J15" s="6"/>
      <c r="K15" s="6"/>
      <c r="L15" s="4"/>
      <c r="M15" s="4"/>
      <c r="N15" s="4"/>
      <c r="AN15" s="16"/>
      <c r="AO15" s="4"/>
      <c r="AP15" s="4"/>
      <c r="AQ15" s="26"/>
      <c r="AR15" s="27"/>
      <c r="AS15" s="4"/>
      <c r="AT15" s="4"/>
      <c r="AU15" s="3"/>
    </row>
    <row r="16" spans="2:47">
      <c r="B16" s="16"/>
      <c r="C16" s="4"/>
      <c r="D16" s="4"/>
      <c r="E16" s="4"/>
      <c r="F16" s="4"/>
      <c r="G16" s="4"/>
      <c r="H16" s="4"/>
      <c r="I16" s="6"/>
      <c r="J16" s="6"/>
      <c r="K16" s="6"/>
      <c r="L16" s="4"/>
      <c r="M16" s="4"/>
      <c r="N16" s="4"/>
      <c r="AN16" s="16"/>
      <c r="AO16" s="4"/>
      <c r="AP16" s="4"/>
      <c r="AQ16" s="26"/>
      <c r="AR16" s="27"/>
      <c r="AS16" s="4"/>
      <c r="AT16" s="4"/>
      <c r="AU16" s="3"/>
    </row>
    <row r="17" spans="2:47">
      <c r="B17" s="16"/>
      <c r="C17" s="4"/>
      <c r="D17" s="4"/>
      <c r="E17" s="4"/>
      <c r="F17" s="4"/>
      <c r="G17" s="4"/>
      <c r="H17" s="4"/>
      <c r="I17" s="6"/>
      <c r="J17" s="6"/>
      <c r="K17" s="6"/>
      <c r="L17" s="4"/>
      <c r="M17" s="4"/>
      <c r="N17" s="4"/>
      <c r="AN17" s="16"/>
      <c r="AO17" s="4"/>
      <c r="AP17" s="4"/>
      <c r="AQ17" s="26"/>
      <c r="AR17" s="27"/>
      <c r="AS17" s="4"/>
      <c r="AT17" s="4"/>
      <c r="AU17" s="3"/>
    </row>
    <row r="18" spans="2:47">
      <c r="B18" s="16"/>
      <c r="C18" s="4"/>
      <c r="D18" s="4"/>
      <c r="E18" s="4"/>
      <c r="F18" s="4"/>
      <c r="G18" s="4"/>
      <c r="H18" s="4"/>
      <c r="I18" s="6"/>
      <c r="J18" s="6"/>
      <c r="K18" s="6"/>
      <c r="L18" s="4"/>
      <c r="M18" s="4"/>
      <c r="N18" s="4"/>
      <c r="AN18" s="16"/>
      <c r="AO18" s="4"/>
      <c r="AP18" s="4"/>
      <c r="AQ18" s="26"/>
      <c r="AR18" s="27"/>
      <c r="AS18" s="4"/>
      <c r="AT18" s="4"/>
      <c r="AU18" s="3"/>
    </row>
    <row r="19" spans="2:47">
      <c r="B19" s="16"/>
      <c r="C19" s="4"/>
      <c r="D19" s="4"/>
      <c r="E19" s="4"/>
      <c r="F19" s="4"/>
      <c r="G19" s="4"/>
      <c r="H19" s="4"/>
      <c r="I19" s="6"/>
      <c r="J19" s="6"/>
      <c r="K19" s="6"/>
      <c r="L19" s="4"/>
      <c r="M19" s="4"/>
      <c r="N19" s="4"/>
      <c r="AN19" s="16"/>
      <c r="AO19" s="4"/>
      <c r="AP19" s="4"/>
      <c r="AQ19" s="26"/>
      <c r="AR19" s="27"/>
      <c r="AS19" s="4"/>
      <c r="AT19" s="4"/>
      <c r="AU19" s="3"/>
    </row>
    <row r="20" spans="2:47">
      <c r="B20" s="16"/>
      <c r="C20" s="4"/>
      <c r="D20" s="4"/>
      <c r="E20" s="4"/>
      <c r="F20" s="4"/>
      <c r="G20" s="4"/>
      <c r="H20" s="4"/>
      <c r="I20" s="6"/>
      <c r="J20" s="6"/>
      <c r="K20" s="6"/>
      <c r="L20" s="4"/>
      <c r="M20" s="4"/>
      <c r="N20" s="4"/>
      <c r="AN20" s="16"/>
      <c r="AO20" s="4"/>
      <c r="AP20" s="4"/>
      <c r="AQ20" s="26"/>
      <c r="AR20" s="27"/>
      <c r="AS20" s="4"/>
      <c r="AT20" s="4"/>
      <c r="AU20" s="3"/>
    </row>
    <row r="21" spans="2:47">
      <c r="B21" s="16"/>
      <c r="C21" s="4"/>
      <c r="D21" s="4"/>
      <c r="E21" s="4"/>
      <c r="F21" s="4"/>
      <c r="G21" s="4"/>
      <c r="H21" s="4"/>
      <c r="I21" s="6"/>
      <c r="J21" s="6"/>
      <c r="K21" s="6"/>
      <c r="L21" s="4"/>
      <c r="M21" s="4"/>
      <c r="N21" s="4"/>
      <c r="AN21" s="16"/>
      <c r="AO21" s="4"/>
      <c r="AP21" s="4"/>
      <c r="AQ21" s="26"/>
      <c r="AR21" s="27"/>
      <c r="AS21" s="4"/>
      <c r="AT21" s="4"/>
      <c r="AU21" s="3"/>
    </row>
    <row r="22" spans="2:47">
      <c r="B22" s="16"/>
      <c r="C22" s="4"/>
      <c r="D22" s="4"/>
      <c r="E22" s="4"/>
      <c r="F22" s="4"/>
      <c r="G22" s="4"/>
      <c r="H22" s="4"/>
      <c r="I22" s="6"/>
      <c r="J22" s="6"/>
      <c r="K22" s="6"/>
      <c r="L22" s="4"/>
      <c r="M22" s="4"/>
      <c r="N22" s="4"/>
      <c r="AN22" s="16"/>
      <c r="AO22" s="4"/>
      <c r="AP22" s="4"/>
      <c r="AQ22" s="26"/>
      <c r="AR22" s="27"/>
      <c r="AS22" s="4"/>
      <c r="AT22" s="4"/>
      <c r="AU22" s="3"/>
    </row>
    <row r="23" spans="2:47">
      <c r="B23" s="16"/>
      <c r="C23" s="4"/>
      <c r="D23" s="4"/>
      <c r="E23" s="4"/>
      <c r="F23" s="4"/>
      <c r="G23" s="4"/>
      <c r="H23" s="4"/>
      <c r="I23" s="6"/>
      <c r="J23" s="6"/>
      <c r="K23" s="6"/>
      <c r="L23" s="4"/>
      <c r="M23" s="4"/>
      <c r="N23" s="4"/>
      <c r="AN23" s="16"/>
      <c r="AO23" s="4"/>
      <c r="AP23" s="4"/>
      <c r="AQ23" s="26"/>
      <c r="AR23" s="27"/>
      <c r="AS23" s="4"/>
      <c r="AT23" s="4"/>
      <c r="AU23" s="3"/>
    </row>
    <row r="24" ht="29" customHeight="1" spans="2:47">
      <c r="B24" s="16"/>
      <c r="C24" s="4"/>
      <c r="D24" s="4"/>
      <c r="E24" s="4"/>
      <c r="F24" s="4"/>
      <c r="G24" s="4"/>
      <c r="H24" s="4"/>
      <c r="I24" s="6"/>
      <c r="J24" s="6"/>
      <c r="K24" s="6"/>
      <c r="L24" s="4"/>
      <c r="M24" s="4"/>
      <c r="N24" s="4"/>
      <c r="AN24" s="16"/>
      <c r="AO24" s="4"/>
      <c r="AP24" s="4"/>
      <c r="AQ24" s="26"/>
      <c r="AR24" s="27"/>
      <c r="AS24" s="4"/>
      <c r="AT24" s="4"/>
      <c r="AU24" s="3"/>
    </row>
    <row r="25" ht="29" customHeight="1" spans="2:47">
      <c r="B25" s="16"/>
      <c r="C25" s="4"/>
      <c r="D25" s="4"/>
      <c r="E25" s="4"/>
      <c r="F25" s="4"/>
      <c r="G25" s="4"/>
      <c r="H25" s="4"/>
      <c r="I25" s="6"/>
      <c r="J25" s="6"/>
      <c r="K25" s="6"/>
      <c r="L25" s="4"/>
      <c r="M25" s="4"/>
      <c r="N25" s="4"/>
      <c r="AN25" s="16"/>
      <c r="AO25" s="4"/>
      <c r="AP25" s="4"/>
      <c r="AQ25" s="26"/>
      <c r="AR25" s="27"/>
      <c r="AS25" s="4"/>
      <c r="AT25" s="4"/>
      <c r="AU25" s="3"/>
    </row>
    <row r="26" ht="29" customHeight="1" spans="2:47">
      <c r="B26" s="16"/>
      <c r="C26" s="4"/>
      <c r="D26" s="4"/>
      <c r="E26" s="4"/>
      <c r="F26" s="4"/>
      <c r="G26" s="4"/>
      <c r="H26" s="4"/>
      <c r="I26" s="6"/>
      <c r="J26" s="6"/>
      <c r="K26" s="6"/>
      <c r="L26" s="4"/>
      <c r="M26" s="4"/>
      <c r="N26" s="4"/>
    </row>
    <row r="27" spans="2:47">
      <c r="B27" s="16"/>
      <c r="C27" s="4"/>
      <c r="D27" s="4"/>
      <c r="E27" s="4"/>
      <c r="F27" s="4"/>
      <c r="G27" s="4"/>
      <c r="H27" s="4"/>
      <c r="I27" s="6"/>
      <c r="J27" s="6"/>
      <c r="K27" s="6"/>
      <c r="L27" s="4"/>
      <c r="M27" s="4"/>
      <c r="N27" s="4"/>
    </row>
    <row r="28" ht="29" customHeight="1" spans="2:47">
      <c r="B28" s="16"/>
      <c r="C28" s="4"/>
      <c r="D28" s="4"/>
      <c r="E28" s="4"/>
      <c r="F28" s="4"/>
      <c r="G28" s="4"/>
      <c r="H28" s="4"/>
      <c r="I28" s="6"/>
      <c r="J28" s="6"/>
      <c r="K28" s="6"/>
      <c r="L28" s="4"/>
      <c r="M28" s="4"/>
      <c r="N28" s="4"/>
    </row>
    <row r="29" spans="2:47">
      <c r="B29" s="16"/>
      <c r="C29" s="4"/>
      <c r="D29" s="4"/>
      <c r="E29" s="4"/>
      <c r="F29" s="4"/>
      <c r="G29" s="4"/>
      <c r="H29" s="4"/>
      <c r="I29" s="6"/>
      <c r="J29" s="6"/>
      <c r="K29" s="6"/>
      <c r="L29" s="4"/>
      <c r="M29" s="4"/>
      <c r="N29" s="4"/>
    </row>
    <row r="30" spans="2:47">
      <c r="B30" s="16"/>
      <c r="C30" s="4"/>
      <c r="D30" s="4"/>
      <c r="E30" s="4"/>
      <c r="F30" s="4"/>
      <c r="G30" s="4"/>
      <c r="H30" s="4"/>
      <c r="I30" s="6"/>
      <c r="J30" s="6"/>
      <c r="K30" s="6"/>
      <c r="L30" s="4"/>
      <c r="M30" s="4"/>
      <c r="N30" s="4"/>
    </row>
    <row r="31" spans="2:47">
      <c r="B31" s="16"/>
      <c r="C31" s="4"/>
      <c r="D31" s="4"/>
      <c r="E31" s="4"/>
      <c r="F31" s="4"/>
      <c r="G31" s="4"/>
      <c r="H31" s="4"/>
      <c r="I31" s="6"/>
      <c r="J31" s="6"/>
      <c r="K31" s="6"/>
      <c r="L31" s="4"/>
      <c r="M31" s="4"/>
      <c r="N31" s="4"/>
    </row>
    <row r="32" spans="2:47">
      <c r="B32" s="16"/>
      <c r="C32" s="4"/>
      <c r="D32" s="4"/>
      <c r="E32" s="4"/>
      <c r="F32" s="4"/>
      <c r="G32" s="4"/>
      <c r="H32" s="4"/>
      <c r="I32" s="6"/>
      <c r="J32" s="6"/>
      <c r="K32" s="6"/>
      <c r="L32" s="4"/>
      <c r="M32" s="4"/>
      <c r="N32" s="4"/>
    </row>
    <row r="33" spans="2:14">
      <c r="B33" s="16"/>
      <c r="C33" s="4"/>
      <c r="D33" s="4"/>
      <c r="E33" s="4"/>
      <c r="F33" s="4"/>
      <c r="G33" s="4"/>
      <c r="H33" s="4"/>
      <c r="I33" s="6"/>
      <c r="J33" s="6"/>
      <c r="K33" s="6"/>
      <c r="L33" s="4"/>
      <c r="M33" s="4"/>
      <c r="N33" s="4"/>
    </row>
    <row r="34" spans="2:14">
      <c r="B34" s="16"/>
      <c r="C34" s="4"/>
      <c r="D34" s="4"/>
      <c r="E34" s="4"/>
      <c r="F34" s="4"/>
      <c r="G34" s="4"/>
      <c r="H34" s="4"/>
      <c r="I34" s="6"/>
      <c r="J34" s="6"/>
      <c r="K34" s="6"/>
      <c r="L34" s="4"/>
      <c r="M34" s="4"/>
      <c r="N34" s="4"/>
    </row>
    <row r="35" spans="2:14">
      <c r="B35" s="16"/>
      <c r="C35" s="4"/>
      <c r="D35" s="4"/>
      <c r="E35" s="4"/>
      <c r="F35" s="4"/>
      <c r="G35" s="4"/>
      <c r="H35" s="4"/>
      <c r="I35" s="6"/>
      <c r="J35" s="6"/>
      <c r="K35" s="6"/>
      <c r="L35" s="4"/>
      <c r="M35" s="4"/>
      <c r="N35" s="4"/>
    </row>
    <row r="36" spans="2:14">
      <c r="B36" s="16"/>
      <c r="C36" s="4"/>
      <c r="D36" s="4"/>
      <c r="E36" s="4"/>
      <c r="F36" s="4"/>
      <c r="G36" s="4"/>
      <c r="H36" s="4"/>
      <c r="I36" s="6"/>
      <c r="J36" s="6"/>
      <c r="K36" s="6"/>
      <c r="L36" s="4"/>
      <c r="M36" s="4"/>
      <c r="N36" s="4"/>
    </row>
    <row r="37" spans="2:14">
      <c r="B37" s="16"/>
      <c r="C37" s="4"/>
      <c r="D37" s="4"/>
      <c r="E37" s="4"/>
      <c r="F37" s="4"/>
      <c r="G37" s="4"/>
      <c r="H37" s="4"/>
      <c r="I37" s="6"/>
      <c r="J37" s="6"/>
      <c r="K37" s="6"/>
      <c r="L37" s="4"/>
      <c r="M37" s="4"/>
      <c r="N37" s="4"/>
    </row>
    <row r="38" spans="2:14">
      <c r="B38" s="16"/>
      <c r="C38" s="4"/>
      <c r="D38" s="4"/>
      <c r="E38" s="4"/>
      <c r="F38" s="4"/>
      <c r="G38" s="4"/>
      <c r="H38" s="4"/>
      <c r="I38" s="6"/>
      <c r="J38" s="6"/>
      <c r="K38" s="6"/>
      <c r="L38" s="4"/>
      <c r="M38" s="4"/>
      <c r="N38" s="4"/>
    </row>
    <row r="39" spans="2:14">
      <c r="B39" s="16"/>
      <c r="C39" s="4"/>
      <c r="D39" s="4"/>
      <c r="E39" s="4"/>
      <c r="F39" s="4"/>
      <c r="G39" s="4"/>
      <c r="H39" s="4"/>
      <c r="I39" s="6"/>
      <c r="J39" s="6"/>
      <c r="K39" s="6"/>
      <c r="L39" s="4"/>
      <c r="M39" s="4"/>
      <c r="N39" s="4"/>
    </row>
    <row r="40" spans="2:14">
      <c r="B40" s="16"/>
      <c r="C40" s="4"/>
      <c r="D40" s="4"/>
      <c r="E40" s="4"/>
      <c r="F40" s="4"/>
      <c r="G40" s="4"/>
      <c r="H40" s="4"/>
      <c r="I40" s="6"/>
      <c r="J40" s="6"/>
      <c r="K40" s="6"/>
      <c r="L40" s="4"/>
      <c r="M40" s="4"/>
      <c r="N40" s="4"/>
    </row>
    <row r="41" ht="29" customHeight="1" spans="2:14">
      <c r="B41" s="16"/>
      <c r="C41" s="4"/>
      <c r="D41" s="4"/>
      <c r="E41" s="4"/>
      <c r="F41" s="4"/>
      <c r="G41" s="4"/>
      <c r="H41" s="4"/>
      <c r="I41" s="6"/>
      <c r="J41" s="6"/>
      <c r="K41" s="6"/>
      <c r="L41" s="4"/>
      <c r="M41" s="4"/>
      <c r="N41" s="4"/>
    </row>
    <row r="42" ht="29" customHeight="1" spans="2:14">
      <c r="B42" s="16"/>
      <c r="C42" s="4"/>
      <c r="D42" s="4"/>
      <c r="E42" s="4"/>
      <c r="F42" s="4"/>
      <c r="G42" s="4"/>
      <c r="H42" s="4"/>
      <c r="I42" s="6"/>
      <c r="J42" s="6"/>
      <c r="K42" s="6"/>
      <c r="L42" s="4"/>
      <c r="M42" s="4"/>
      <c r="N42" s="4"/>
    </row>
    <row r="43" ht="29" customHeight="1" spans="2:14">
      <c r="B43" s="16"/>
      <c r="C43" s="4"/>
      <c r="D43" s="4"/>
      <c r="E43" s="4"/>
      <c r="F43" s="4"/>
      <c r="G43" s="4"/>
      <c r="H43" s="4"/>
      <c r="I43" s="6"/>
      <c r="J43" s="6"/>
      <c r="K43" s="6"/>
      <c r="L43" s="4"/>
      <c r="M43" s="4"/>
      <c r="N43" s="4"/>
    </row>
    <row r="44" ht="29" customHeight="1" spans="2:14">
      <c r="B44" s="16"/>
      <c r="C44" s="4"/>
      <c r="D44" s="4"/>
      <c r="E44" s="4"/>
      <c r="F44" s="4"/>
      <c r="G44" s="4"/>
      <c r="H44" s="4"/>
      <c r="I44" s="6"/>
      <c r="J44" s="6"/>
      <c r="K44" s="6"/>
      <c r="L44" s="4"/>
      <c r="M44" s="4"/>
      <c r="N44" s="4"/>
    </row>
    <row r="45" ht="29" customHeight="1" spans="2:14">
      <c r="B45" s="16"/>
      <c r="C45" s="4"/>
      <c r="D45" s="4"/>
      <c r="E45" s="4"/>
      <c r="F45" s="4"/>
      <c r="G45" s="4"/>
      <c r="H45" s="4"/>
      <c r="I45" s="6"/>
      <c r="J45" s="6"/>
      <c r="K45" s="6"/>
      <c r="L45" s="4"/>
      <c r="M45" s="4"/>
      <c r="N45" s="4"/>
    </row>
    <row r="46" ht="29" customHeight="1" spans="2:14">
      <c r="B46" s="16"/>
      <c r="C46" s="4"/>
      <c r="D46" s="4"/>
      <c r="E46" s="4"/>
      <c r="F46" s="4"/>
      <c r="G46" s="4"/>
      <c r="H46" s="4"/>
      <c r="I46" s="6"/>
      <c r="J46" s="6"/>
      <c r="K46" s="6"/>
      <c r="L46" s="4"/>
      <c r="M46" s="4"/>
      <c r="N46" s="4"/>
    </row>
    <row r="47" ht="29" customHeight="1" spans="2:14">
      <c r="B47" s="16"/>
      <c r="C47" s="4"/>
      <c r="D47" s="4"/>
      <c r="E47" s="4"/>
      <c r="F47" s="4"/>
      <c r="G47" s="4"/>
      <c r="H47" s="4"/>
      <c r="I47" s="6"/>
      <c r="J47" s="6"/>
      <c r="K47" s="6"/>
      <c r="L47" s="4"/>
      <c r="M47" s="4"/>
      <c r="N47" s="4"/>
    </row>
    <row r="48" ht="29" customHeight="1" spans="2:14">
      <c r="B48" s="16"/>
      <c r="C48" s="4"/>
      <c r="D48" s="4"/>
      <c r="E48" s="4"/>
      <c r="F48" s="4"/>
      <c r="G48" s="4"/>
      <c r="H48" s="4"/>
      <c r="I48" s="6"/>
      <c r="J48" s="6"/>
      <c r="K48" s="6"/>
      <c r="L48" s="4"/>
      <c r="M48" s="4"/>
      <c r="N48" s="4"/>
    </row>
    <row r="49" ht="29" customHeight="1" spans="2:14">
      <c r="B49" s="16"/>
      <c r="C49" s="4"/>
      <c r="D49" s="4"/>
      <c r="E49" s="4"/>
      <c r="F49" s="4"/>
      <c r="G49" s="4"/>
      <c r="H49" s="4"/>
      <c r="I49" s="6"/>
      <c r="J49" s="6"/>
      <c r="K49" s="6"/>
      <c r="L49" s="4"/>
      <c r="M49" s="4"/>
      <c r="N49" s="4"/>
    </row>
    <row r="50" spans="2:14">
      <c r="B50" s="16"/>
      <c r="C50" s="4"/>
      <c r="D50" s="4"/>
      <c r="E50" s="4"/>
      <c r="F50" s="4"/>
      <c r="G50" s="4"/>
      <c r="H50" s="4"/>
      <c r="I50" s="6"/>
      <c r="J50" s="6"/>
      <c r="K50" s="6"/>
      <c r="L50" s="4"/>
      <c r="M50" s="4"/>
      <c r="N50" s="4"/>
    </row>
    <row r="51" ht="29" customHeight="1" spans="2:14">
      <c r="B51" s="16"/>
      <c r="C51" s="4"/>
      <c r="D51" s="4"/>
      <c r="E51" s="4"/>
      <c r="F51" s="4"/>
      <c r="G51" s="4"/>
      <c r="H51" s="4"/>
      <c r="I51" s="6"/>
      <c r="J51" s="6"/>
      <c r="K51" s="6"/>
      <c r="L51" s="4"/>
      <c r="M51" s="4"/>
      <c r="N51" s="4"/>
    </row>
    <row r="52" ht="29" customHeight="1" spans="2:14">
      <c r="B52" s="16"/>
      <c r="C52" s="4"/>
      <c r="D52" s="4"/>
      <c r="E52" s="4"/>
      <c r="F52" s="4"/>
      <c r="G52" s="4"/>
      <c r="H52" s="4"/>
      <c r="I52" s="6"/>
      <c r="J52" s="6"/>
      <c r="K52" s="6"/>
      <c r="L52" s="4"/>
      <c r="M52" s="4"/>
      <c r="N52" s="4"/>
    </row>
    <row r="53" ht="29" customHeight="1" spans="2:14">
      <c r="B53" s="16"/>
      <c r="C53" s="4"/>
      <c r="D53" s="4"/>
      <c r="E53" s="4"/>
      <c r="F53" s="4"/>
      <c r="G53" s="4"/>
      <c r="H53" s="4"/>
      <c r="I53" s="6"/>
      <c r="J53" s="6"/>
      <c r="K53" s="6"/>
      <c r="L53" s="4"/>
      <c r="M53" s="4"/>
      <c r="N53" s="4"/>
    </row>
    <row r="54" ht="29" customHeight="1" spans="2:14">
      <c r="B54" s="16"/>
      <c r="C54" s="4"/>
      <c r="D54" s="4"/>
      <c r="E54" s="4"/>
      <c r="F54" s="4"/>
      <c r="G54" s="4"/>
      <c r="H54" s="4"/>
      <c r="I54" s="6"/>
      <c r="J54" s="6"/>
      <c r="K54" s="6"/>
      <c r="L54" s="4"/>
      <c r="M54" s="4"/>
      <c r="N54" s="4"/>
    </row>
    <row r="55" ht="29" customHeight="1" spans="2:14">
      <c r="B55" s="16"/>
      <c r="C55" s="4"/>
      <c r="D55" s="4"/>
      <c r="E55" s="4"/>
      <c r="F55" s="4"/>
      <c r="G55" s="4"/>
      <c r="H55" s="4"/>
      <c r="I55" s="6"/>
      <c r="J55" s="6"/>
      <c r="K55" s="6"/>
      <c r="L55" s="4"/>
      <c r="M55" s="4"/>
      <c r="N55" s="4"/>
    </row>
    <row r="56" ht="29" customHeight="1" spans="2:14">
      <c r="B56" s="16"/>
      <c r="C56" s="4"/>
      <c r="D56" s="4"/>
      <c r="E56" s="4"/>
      <c r="F56" s="4"/>
      <c r="G56" s="4"/>
      <c r="H56" s="4"/>
      <c r="I56" s="6"/>
      <c r="J56" s="6"/>
      <c r="K56" s="6"/>
      <c r="L56" s="4"/>
      <c r="M56" s="4"/>
      <c r="N56" s="4"/>
    </row>
    <row r="57" ht="29" customHeight="1" spans="2:14">
      <c r="B57" s="16"/>
      <c r="C57" s="4"/>
      <c r="D57" s="4"/>
      <c r="E57" s="4"/>
      <c r="F57" s="4"/>
      <c r="G57" s="4"/>
      <c r="H57" s="4"/>
      <c r="I57" s="6"/>
      <c r="J57" s="6"/>
      <c r="K57" s="6"/>
      <c r="L57" s="4"/>
      <c r="M57" s="4"/>
      <c r="N57" s="4"/>
    </row>
    <row r="58" ht="29" customHeight="1" spans="2:14">
      <c r="B58" s="16"/>
      <c r="C58" s="4"/>
      <c r="D58" s="4"/>
      <c r="E58" s="4"/>
      <c r="F58" s="4"/>
      <c r="G58" s="4"/>
      <c r="H58" s="4"/>
      <c r="I58" s="6"/>
      <c r="J58" s="6"/>
      <c r="K58" s="6"/>
      <c r="L58" s="4"/>
      <c r="M58" s="4"/>
      <c r="N58" s="4"/>
    </row>
    <row r="59" ht="29" customHeight="1" spans="2:14">
      <c r="B59" s="16"/>
      <c r="C59" s="4"/>
      <c r="D59" s="4"/>
      <c r="E59" s="4"/>
      <c r="F59" s="4"/>
      <c r="G59" s="4"/>
      <c r="H59" s="4"/>
      <c r="I59" s="6"/>
      <c r="J59" s="6"/>
      <c r="K59" s="6"/>
      <c r="L59" s="4"/>
      <c r="M59" s="4"/>
      <c r="N59" s="4"/>
    </row>
    <row r="60" ht="29" customHeight="1" spans="2:14">
      <c r="B60" s="16"/>
      <c r="C60" s="4"/>
      <c r="D60" s="4"/>
      <c r="E60" s="4"/>
      <c r="F60" s="4"/>
      <c r="G60" s="4"/>
      <c r="H60" s="4"/>
      <c r="I60" s="6"/>
      <c r="J60" s="6"/>
      <c r="K60" s="6"/>
      <c r="L60" s="4"/>
      <c r="M60" s="4"/>
      <c r="N60" s="4"/>
    </row>
    <row r="61" ht="29" customHeight="1" spans="2:14">
      <c r="B61" s="16"/>
      <c r="C61" s="4"/>
      <c r="D61" s="4"/>
      <c r="E61" s="4"/>
      <c r="F61" s="4"/>
      <c r="G61" s="4"/>
      <c r="H61" s="4"/>
      <c r="I61" s="6"/>
      <c r="J61" s="6"/>
      <c r="K61" s="6"/>
      <c r="L61" s="4"/>
      <c r="M61" s="4"/>
      <c r="N61" s="4"/>
    </row>
    <row r="62" ht="29" customHeight="1" spans="2:14">
      <c r="B62" s="16"/>
      <c r="C62" s="4"/>
      <c r="D62" s="4"/>
      <c r="E62" s="4"/>
      <c r="F62" s="4"/>
      <c r="G62" s="4"/>
      <c r="H62" s="4"/>
      <c r="I62" s="6"/>
      <c r="J62" s="6"/>
      <c r="K62" s="6"/>
      <c r="L62" s="4"/>
      <c r="M62" s="4"/>
      <c r="N62" s="4"/>
    </row>
    <row r="63" ht="29" customHeight="1" spans="2:14">
      <c r="B63" s="16"/>
      <c r="C63" s="4"/>
      <c r="D63" s="4"/>
      <c r="E63" s="4"/>
      <c r="F63" s="4"/>
      <c r="G63" s="4"/>
      <c r="H63" s="4"/>
      <c r="I63" s="6"/>
      <c r="J63" s="6"/>
      <c r="K63" s="6"/>
      <c r="L63" s="4"/>
      <c r="M63" s="4"/>
      <c r="N63" s="4"/>
    </row>
    <row r="64" ht="29" customHeight="1" spans="2:14">
      <c r="B64" s="16"/>
      <c r="C64" s="4"/>
      <c r="D64" s="4"/>
      <c r="E64" s="4"/>
      <c r="F64" s="4"/>
      <c r="G64" s="4"/>
      <c r="H64" s="4"/>
      <c r="I64" s="6"/>
      <c r="J64" s="6"/>
      <c r="K64" s="6"/>
      <c r="L64" s="4"/>
      <c r="M64" s="4"/>
      <c r="N64" s="4"/>
    </row>
    <row r="65" spans="2:14">
      <c r="B65" s="16"/>
      <c r="C65" s="4"/>
      <c r="D65" s="4"/>
      <c r="E65" s="4"/>
      <c r="F65" s="4"/>
      <c r="G65" s="4"/>
      <c r="H65" s="4"/>
      <c r="I65" s="6"/>
      <c r="J65" s="6"/>
      <c r="K65" s="6"/>
      <c r="L65" s="4"/>
      <c r="M65" s="4"/>
      <c r="N65" s="4"/>
    </row>
    <row r="66" ht="29" customHeight="1" spans="2:14">
      <c r="B66" s="16"/>
      <c r="C66" s="4"/>
      <c r="D66" s="4"/>
      <c r="E66" s="4"/>
      <c r="F66" s="4"/>
      <c r="G66" s="4"/>
      <c r="H66" s="4"/>
      <c r="I66" s="6"/>
      <c r="J66" s="6"/>
      <c r="K66" s="6"/>
      <c r="L66" s="4"/>
      <c r="M66" s="4"/>
      <c r="N66" s="4"/>
    </row>
    <row r="67" ht="29" customHeight="1" spans="2:14">
      <c r="B67" s="16"/>
      <c r="C67" s="4"/>
      <c r="D67" s="4"/>
      <c r="E67" s="4"/>
      <c r="F67" s="4"/>
      <c r="G67" s="4"/>
      <c r="H67" s="4"/>
      <c r="I67" s="6"/>
      <c r="J67" s="6"/>
      <c r="K67" s="6"/>
      <c r="L67" s="4"/>
      <c r="M67" s="4"/>
      <c r="N67" s="4"/>
    </row>
    <row r="68" ht="29" customHeight="1" spans="2:14">
      <c r="B68" s="16"/>
      <c r="C68" s="4"/>
      <c r="D68" s="4"/>
      <c r="E68" s="4"/>
      <c r="F68" s="4"/>
      <c r="G68" s="4"/>
      <c r="H68" s="4"/>
      <c r="I68" s="6"/>
      <c r="J68" s="6"/>
      <c r="K68" s="6"/>
      <c r="L68" s="4"/>
      <c r="M68" s="4"/>
      <c r="N68" s="4"/>
    </row>
    <row r="69" ht="29" customHeight="1" spans="2:14">
      <c r="B69" s="16"/>
      <c r="C69" s="4"/>
      <c r="D69" s="4"/>
      <c r="E69" s="4"/>
      <c r="F69" s="4"/>
      <c r="G69" s="4"/>
      <c r="H69" s="4"/>
      <c r="I69" s="6"/>
      <c r="J69" s="6"/>
      <c r="K69" s="6"/>
      <c r="L69" s="4"/>
      <c r="M69" s="4"/>
      <c r="N69" s="4"/>
    </row>
    <row r="70" spans="2:14">
      <c r="B70" s="16"/>
      <c r="C70" s="4"/>
      <c r="D70" s="4"/>
      <c r="E70" s="4"/>
      <c r="F70" s="4"/>
      <c r="G70" s="4"/>
      <c r="H70" s="4"/>
      <c r="I70" s="6"/>
      <c r="J70" s="6"/>
      <c r="K70" s="6"/>
      <c r="L70" s="4"/>
      <c r="M70" s="4"/>
      <c r="N70" s="4"/>
    </row>
    <row r="71" ht="29" customHeight="1" spans="2:14">
      <c r="B71" s="16"/>
      <c r="C71" s="4"/>
      <c r="D71" s="4"/>
      <c r="E71" s="4"/>
      <c r="F71" s="4"/>
      <c r="G71" s="4"/>
      <c r="H71" s="4"/>
      <c r="I71" s="6"/>
      <c r="J71" s="6"/>
      <c r="K71" s="6"/>
      <c r="L71" s="4"/>
      <c r="M71" s="4"/>
      <c r="N71" s="4"/>
    </row>
    <row r="72" spans="2:14">
      <c r="B72" s="16"/>
      <c r="C72" s="4"/>
      <c r="D72" s="4"/>
      <c r="E72" s="4"/>
      <c r="F72" s="4"/>
      <c r="G72" s="4"/>
      <c r="H72" s="4"/>
      <c r="I72" s="6"/>
      <c r="J72" s="6"/>
      <c r="K72" s="6"/>
      <c r="L72" s="4"/>
      <c r="M72" s="4"/>
      <c r="N72" s="4"/>
    </row>
    <row r="73" spans="2:14">
      <c r="B73" s="16"/>
      <c r="C73" s="4"/>
      <c r="D73" s="4"/>
      <c r="E73" s="4"/>
      <c r="F73" s="4"/>
      <c r="G73" s="4"/>
      <c r="H73" s="4"/>
      <c r="I73" s="6"/>
      <c r="J73" s="6"/>
      <c r="K73" s="6"/>
      <c r="L73" s="4"/>
      <c r="M73" s="4"/>
      <c r="N73" s="4"/>
    </row>
    <row r="74" spans="2:14">
      <c r="B74" s="16"/>
      <c r="C74" s="4"/>
      <c r="D74" s="4"/>
      <c r="E74" s="4"/>
      <c r="F74" s="4"/>
      <c r="G74" s="4"/>
      <c r="H74" s="4"/>
      <c r="I74" s="6"/>
      <c r="J74" s="6"/>
      <c r="K74" s="6"/>
      <c r="L74" s="4"/>
      <c r="M74" s="4"/>
      <c r="N74" s="4"/>
    </row>
    <row r="75" ht="29" customHeight="1" spans="2:14">
      <c r="B75" s="16"/>
      <c r="C75" s="4"/>
      <c r="D75" s="4"/>
      <c r="E75" s="4"/>
      <c r="F75" s="4"/>
      <c r="G75" s="4"/>
      <c r="H75" s="4"/>
      <c r="I75" s="6"/>
      <c r="J75" s="6"/>
      <c r="K75" s="6"/>
      <c r="L75" s="4"/>
      <c r="M75" s="4"/>
      <c r="N75" s="4"/>
    </row>
    <row r="76" ht="29" customHeight="1" spans="2:14">
      <c r="B76" s="16"/>
      <c r="C76" s="4"/>
      <c r="D76" s="4"/>
      <c r="E76" s="4"/>
      <c r="F76" s="4"/>
      <c r="G76" s="4"/>
      <c r="H76" s="4"/>
      <c r="I76" s="6"/>
      <c r="J76" s="6"/>
      <c r="K76" s="6"/>
      <c r="L76" s="4"/>
      <c r="M76" s="4"/>
      <c r="N76" s="4"/>
    </row>
    <row r="77" ht="29" customHeight="1" spans="2:14">
      <c r="B77" s="16"/>
      <c r="C77" s="4"/>
      <c r="D77" s="4"/>
      <c r="E77" s="4"/>
      <c r="F77" s="4"/>
      <c r="G77" s="4"/>
      <c r="H77" s="4"/>
      <c r="I77" s="6"/>
      <c r="J77" s="6"/>
      <c r="K77" s="6"/>
      <c r="L77" s="4"/>
      <c r="M77" s="4"/>
      <c r="N77" s="4"/>
    </row>
    <row r="78" ht="29" customHeight="1" spans="2:14">
      <c r="B78" s="16"/>
      <c r="C78" s="4"/>
      <c r="D78" s="4"/>
      <c r="E78" s="4"/>
      <c r="F78" s="4"/>
      <c r="G78" s="4"/>
      <c r="H78" s="4"/>
      <c r="I78" s="6"/>
      <c r="J78" s="6"/>
      <c r="K78" s="6"/>
      <c r="L78" s="4"/>
      <c r="M78" s="4"/>
      <c r="N78" s="4"/>
    </row>
    <row r="79" ht="29" customHeight="1" spans="2:14">
      <c r="B79" s="16"/>
      <c r="C79" s="4"/>
      <c r="D79" s="4"/>
      <c r="E79" s="4"/>
      <c r="F79" s="4"/>
      <c r="G79" s="4"/>
      <c r="H79" s="4"/>
      <c r="I79" s="6"/>
      <c r="J79" s="6"/>
      <c r="K79" s="6"/>
      <c r="L79" s="4"/>
      <c r="M79" s="4"/>
      <c r="N79" s="4"/>
    </row>
    <row r="80" ht="29" customHeight="1" spans="2:14">
      <c r="B80" s="16"/>
      <c r="C80" s="4"/>
      <c r="D80" s="4"/>
      <c r="E80" s="4"/>
      <c r="F80" s="4"/>
      <c r="G80" s="4"/>
      <c r="H80" s="4"/>
      <c r="I80" s="6"/>
      <c r="J80" s="6"/>
      <c r="K80" s="6"/>
      <c r="L80" s="4"/>
      <c r="M80" s="4"/>
      <c r="N80" s="4"/>
    </row>
    <row r="81" ht="29" customHeight="1" spans="2:14">
      <c r="B81" s="16"/>
      <c r="C81" s="4"/>
      <c r="D81" s="4"/>
      <c r="E81" s="4"/>
      <c r="F81" s="4"/>
      <c r="G81" s="4"/>
      <c r="H81" s="4"/>
      <c r="I81" s="6"/>
      <c r="J81" s="6"/>
      <c r="K81" s="6"/>
      <c r="L81" s="4"/>
      <c r="M81" s="4"/>
      <c r="N81" s="4"/>
    </row>
    <row r="82" ht="29" customHeight="1" spans="2:14">
      <c r="B82" s="16"/>
      <c r="C82" s="4"/>
      <c r="D82" s="4"/>
      <c r="E82" s="4"/>
      <c r="F82" s="4"/>
      <c r="G82" s="4"/>
      <c r="H82" s="4"/>
      <c r="I82" s="6"/>
      <c r="J82" s="6"/>
      <c r="K82" s="6"/>
      <c r="L82" s="4"/>
      <c r="M82" s="4"/>
      <c r="N82" s="4"/>
    </row>
    <row r="83" ht="43.5" customHeight="1" spans="2:14">
      <c r="B83" s="16"/>
      <c r="C83" s="4"/>
      <c r="D83" s="4"/>
      <c r="E83" s="4"/>
      <c r="F83" s="4"/>
      <c r="G83" s="4"/>
      <c r="H83" s="4"/>
      <c r="I83" s="6"/>
      <c r="J83" s="6"/>
      <c r="K83" s="6"/>
      <c r="L83" s="4"/>
      <c r="M83" s="4"/>
      <c r="N83" s="4"/>
    </row>
    <row r="84" spans="2:14">
      <c r="B84" s="16"/>
      <c r="C84" s="4"/>
      <c r="D84" s="4"/>
      <c r="E84" s="4"/>
      <c r="F84" s="4"/>
      <c r="G84" s="4"/>
      <c r="H84" s="4"/>
      <c r="I84" s="6"/>
      <c r="J84" s="6"/>
      <c r="K84" s="6"/>
      <c r="L84" s="4"/>
      <c r="M84" s="4"/>
      <c r="N84" s="4"/>
    </row>
    <row r="85" spans="2:14">
      <c r="B85" s="16"/>
      <c r="C85" s="4"/>
      <c r="D85" s="4"/>
      <c r="E85" s="4"/>
      <c r="F85" s="4"/>
      <c r="G85" s="4"/>
      <c r="H85" s="4"/>
      <c r="I85" s="6"/>
      <c r="J85" s="6"/>
      <c r="K85" s="6"/>
      <c r="L85" s="4"/>
      <c r="M85" s="4"/>
      <c r="N85" s="4"/>
    </row>
    <row r="86" spans="2:14">
      <c r="B86" s="16"/>
      <c r="C86" s="4"/>
      <c r="D86" s="4"/>
      <c r="E86" s="4"/>
      <c r="F86" s="4"/>
      <c r="G86" s="4"/>
      <c r="H86" s="4"/>
      <c r="I86" s="6"/>
      <c r="J86" s="6"/>
      <c r="K86" s="6"/>
      <c r="L86" s="4"/>
      <c r="M86" s="4"/>
      <c r="N86" s="4"/>
    </row>
    <row r="87" spans="2:14">
      <c r="B87" s="16"/>
      <c r="C87" s="4"/>
      <c r="D87" s="4"/>
      <c r="E87" s="4"/>
      <c r="F87" s="4"/>
      <c r="G87" s="4"/>
      <c r="H87" s="4"/>
      <c r="I87" s="6"/>
      <c r="J87" s="6"/>
      <c r="K87" s="6"/>
      <c r="L87" s="4"/>
      <c r="M87" s="4"/>
      <c r="N87" s="4"/>
    </row>
    <row r="88" spans="2:14">
      <c r="B88" s="16"/>
      <c r="C88" s="4"/>
      <c r="D88" s="4"/>
      <c r="E88" s="4"/>
      <c r="F88" s="4"/>
      <c r="G88" s="4"/>
      <c r="H88" s="4"/>
      <c r="I88" s="6"/>
      <c r="J88" s="6"/>
      <c r="K88" s="6"/>
      <c r="L88" s="4"/>
      <c r="M88" s="4"/>
      <c r="N88" s="4"/>
    </row>
    <row r="89" spans="2:14">
      <c r="B89" s="16"/>
      <c r="C89" s="4"/>
      <c r="D89" s="4"/>
      <c r="E89" s="4"/>
      <c r="F89" s="4"/>
      <c r="G89" s="4"/>
      <c r="H89" s="4"/>
      <c r="I89" s="6"/>
      <c r="J89" s="6"/>
      <c r="K89" s="6"/>
      <c r="L89" s="4"/>
      <c r="M89" s="4"/>
      <c r="N89" s="4"/>
    </row>
    <row r="90" spans="2:14">
      <c r="B90" s="16"/>
      <c r="C90" s="4"/>
      <c r="D90" s="4"/>
      <c r="E90" s="4"/>
      <c r="F90" s="4"/>
      <c r="G90" s="4"/>
      <c r="H90" s="4"/>
      <c r="I90" s="6"/>
      <c r="J90" s="6"/>
      <c r="K90" s="6"/>
      <c r="L90" s="4"/>
      <c r="M90" s="4"/>
      <c r="N90" s="4"/>
    </row>
    <row r="91" spans="2:14">
      <c r="B91" s="16"/>
      <c r="C91" s="4"/>
      <c r="D91" s="4"/>
      <c r="E91" s="4"/>
      <c r="F91" s="4"/>
      <c r="G91" s="4"/>
      <c r="H91" s="4"/>
      <c r="I91" s="6"/>
      <c r="J91" s="6"/>
      <c r="K91" s="6"/>
      <c r="L91" s="4"/>
      <c r="M91" s="4"/>
      <c r="N91" s="4"/>
    </row>
    <row r="92" spans="2:14">
      <c r="B92" s="16"/>
      <c r="C92" s="4"/>
      <c r="D92" s="4"/>
      <c r="E92" s="4"/>
      <c r="F92" s="4"/>
      <c r="G92" s="4"/>
      <c r="H92" s="4"/>
      <c r="I92" s="6"/>
      <c r="J92" s="6"/>
      <c r="K92" s="6"/>
      <c r="L92" s="4"/>
      <c r="M92" s="4"/>
      <c r="N92" s="4"/>
    </row>
    <row r="93" spans="2:14">
      <c r="B93" s="16"/>
      <c r="C93" s="4"/>
      <c r="D93" s="4"/>
      <c r="E93" s="4"/>
      <c r="F93" s="4"/>
      <c r="G93" s="4"/>
      <c r="H93" s="4"/>
      <c r="I93" s="6"/>
      <c r="J93" s="6"/>
      <c r="K93" s="6"/>
      <c r="L93" s="4"/>
      <c r="M93" s="4"/>
      <c r="N93" s="4"/>
    </row>
    <row r="94" spans="2:14">
      <c r="B94" s="16"/>
      <c r="C94" s="4"/>
      <c r="D94" s="4"/>
      <c r="E94" s="4"/>
      <c r="F94" s="4"/>
      <c r="G94" s="4"/>
      <c r="H94" s="4"/>
      <c r="I94" s="6"/>
      <c r="J94" s="6"/>
      <c r="K94" s="6"/>
      <c r="L94" s="4"/>
      <c r="M94" s="4"/>
      <c r="N94" s="4"/>
    </row>
    <row r="95" spans="2:14">
      <c r="B95" s="16"/>
      <c r="C95" s="4"/>
      <c r="D95" s="4"/>
      <c r="E95" s="4"/>
      <c r="F95" s="4"/>
      <c r="G95" s="4"/>
      <c r="H95" s="4"/>
      <c r="I95" s="6"/>
      <c r="J95" s="6"/>
      <c r="K95" s="6"/>
      <c r="L95" s="4"/>
      <c r="M95" s="4"/>
      <c r="N95" s="4"/>
    </row>
    <row r="96" spans="2:14">
      <c r="B96" s="16"/>
      <c r="C96" s="4"/>
      <c r="D96" s="4"/>
      <c r="E96" s="4"/>
      <c r="F96" s="4"/>
      <c r="G96" s="4"/>
      <c r="H96" s="4"/>
      <c r="I96" s="6"/>
      <c r="J96" s="6"/>
      <c r="K96" s="6"/>
      <c r="L96" s="4"/>
      <c r="M96" s="4"/>
      <c r="N96" s="4"/>
    </row>
    <row r="97" spans="2:14">
      <c r="B97" s="16"/>
      <c r="C97" s="4"/>
      <c r="D97" s="4"/>
      <c r="E97" s="4"/>
      <c r="F97" s="4"/>
      <c r="G97" s="4"/>
      <c r="H97" s="4"/>
      <c r="I97" s="6"/>
      <c r="J97" s="6"/>
      <c r="K97" s="6"/>
      <c r="L97" s="4"/>
      <c r="M97" s="4"/>
      <c r="N97" s="4"/>
    </row>
    <row r="98" spans="2:14">
      <c r="B98" s="16"/>
      <c r="C98" s="4"/>
      <c r="D98" s="4"/>
      <c r="E98" s="4"/>
      <c r="F98" s="4"/>
      <c r="G98" s="4"/>
      <c r="H98" s="4"/>
      <c r="I98" s="6"/>
      <c r="J98" s="6"/>
      <c r="K98" s="6"/>
      <c r="L98" s="4"/>
      <c r="M98" s="4"/>
      <c r="N98" s="4"/>
    </row>
    <row r="99" spans="2:14">
      <c r="B99" s="16"/>
      <c r="C99" s="4"/>
      <c r="D99" s="4"/>
      <c r="E99" s="4"/>
      <c r="F99" s="4"/>
      <c r="G99" s="4"/>
      <c r="H99" s="4"/>
      <c r="I99" s="6"/>
      <c r="J99" s="6"/>
      <c r="K99" s="6"/>
      <c r="L99" s="4"/>
      <c r="M99" s="4"/>
      <c r="N99" s="4"/>
    </row>
    <row r="100" spans="2:14">
      <c r="B100" s="16"/>
      <c r="C100" s="4"/>
      <c r="D100" s="4"/>
      <c r="E100" s="4"/>
      <c r="F100" s="4"/>
      <c r="G100" s="4"/>
      <c r="H100" s="4"/>
      <c r="I100" s="6"/>
      <c r="J100" s="6"/>
      <c r="K100" s="6"/>
      <c r="L100" s="4"/>
      <c r="M100" s="4"/>
      <c r="N100" s="4"/>
    </row>
    <row r="101" spans="2:14">
      <c r="B101" s="16"/>
      <c r="C101" s="4"/>
      <c r="D101" s="4"/>
      <c r="E101" s="4"/>
      <c r="F101" s="4"/>
      <c r="G101" s="4"/>
      <c r="H101" s="4"/>
      <c r="I101" s="6"/>
      <c r="J101" s="6"/>
      <c r="K101" s="6"/>
      <c r="L101" s="4"/>
      <c r="M101" s="4"/>
      <c r="N101" s="4"/>
    </row>
    <row r="102" spans="2:14">
      <c r="B102" s="16"/>
      <c r="C102" s="4"/>
      <c r="D102" s="4"/>
      <c r="E102" s="4"/>
      <c r="F102" s="4"/>
      <c r="G102" s="4"/>
      <c r="H102" s="4"/>
      <c r="I102" s="6"/>
      <c r="J102" s="6"/>
      <c r="K102" s="6"/>
      <c r="L102" s="4"/>
      <c r="M102" s="4"/>
      <c r="N102" s="4"/>
    </row>
    <row r="103" spans="2:14">
      <c r="B103" s="16"/>
      <c r="C103" s="4"/>
      <c r="D103" s="4"/>
      <c r="E103" s="4"/>
      <c r="F103" s="4"/>
      <c r="G103" s="4"/>
      <c r="H103" s="4"/>
      <c r="I103" s="6"/>
      <c r="J103" s="6"/>
      <c r="K103" s="6"/>
      <c r="L103" s="4"/>
      <c r="M103" s="4"/>
      <c r="N103" s="4"/>
    </row>
    <row r="104" spans="2:14">
      <c r="B104" s="16"/>
      <c r="C104" s="4"/>
      <c r="D104" s="4"/>
      <c r="E104" s="4"/>
      <c r="F104" s="4"/>
      <c r="G104" s="4"/>
      <c r="H104" s="4"/>
      <c r="I104" s="6"/>
      <c r="J104" s="6"/>
      <c r="K104" s="6"/>
      <c r="L104" s="4"/>
      <c r="M104" s="4"/>
      <c r="N104" s="4"/>
    </row>
    <row r="105" spans="2:14">
      <c r="B105" s="16"/>
      <c r="C105" s="4"/>
      <c r="D105" s="4"/>
      <c r="E105" s="4"/>
      <c r="F105" s="4"/>
      <c r="G105" s="4"/>
      <c r="H105" s="4"/>
      <c r="I105" s="6"/>
      <c r="J105" s="6"/>
      <c r="K105" s="6"/>
      <c r="L105" s="4"/>
      <c r="M105" s="4"/>
      <c r="N105" s="4"/>
    </row>
    <row r="106" spans="2:14">
      <c r="B106" s="16"/>
      <c r="C106" s="4"/>
      <c r="D106" s="4"/>
      <c r="E106" s="4"/>
      <c r="F106" s="4"/>
      <c r="G106" s="4"/>
      <c r="H106" s="4"/>
      <c r="I106" s="6"/>
      <c r="J106" s="6"/>
      <c r="K106" s="6"/>
      <c r="L106" s="4"/>
      <c r="M106" s="4"/>
      <c r="N106" s="4"/>
    </row>
    <row r="107" spans="2:14">
      <c r="B107" s="16"/>
      <c r="C107" s="4"/>
      <c r="D107" s="4"/>
      <c r="E107" s="4"/>
      <c r="F107" s="4"/>
      <c r="G107" s="4"/>
      <c r="H107" s="4"/>
      <c r="I107" s="6"/>
      <c r="J107" s="6"/>
      <c r="K107" s="6"/>
      <c r="L107" s="4"/>
      <c r="M107" s="4"/>
      <c r="N107" s="4"/>
    </row>
    <row r="108" spans="2:14">
      <c r="B108" s="16"/>
      <c r="C108" s="4"/>
      <c r="D108" s="4"/>
      <c r="E108" s="4"/>
      <c r="F108" s="4"/>
      <c r="G108" s="4"/>
      <c r="H108" s="4"/>
      <c r="I108" s="6"/>
      <c r="J108" s="6"/>
      <c r="K108" s="6"/>
      <c r="L108" s="4"/>
      <c r="M108" s="4"/>
      <c r="N108" s="4"/>
    </row>
    <row r="109" spans="2:14">
      <c r="B109" s="16"/>
      <c r="C109" s="4"/>
      <c r="D109" s="4"/>
      <c r="E109" s="4"/>
      <c r="F109" s="4"/>
      <c r="G109" s="4"/>
      <c r="H109" s="4"/>
      <c r="I109" s="6"/>
      <c r="J109" s="6"/>
      <c r="K109" s="6"/>
      <c r="L109" s="4"/>
      <c r="M109" s="4"/>
      <c r="N109" s="4"/>
    </row>
    <row r="110" spans="2:14">
      <c r="B110" s="16"/>
      <c r="C110" s="4"/>
      <c r="D110" s="4"/>
      <c r="E110" s="4"/>
      <c r="F110" s="4"/>
      <c r="G110" s="4"/>
      <c r="H110" s="4"/>
      <c r="I110" s="6"/>
      <c r="J110" s="6"/>
      <c r="K110" s="6"/>
      <c r="L110" s="4"/>
      <c r="M110" s="4"/>
      <c r="N110" s="4"/>
    </row>
    <row r="111" spans="2:14">
      <c r="B111" s="16"/>
      <c r="C111" s="4"/>
      <c r="D111" s="4"/>
      <c r="E111" s="4"/>
      <c r="F111" s="4"/>
      <c r="G111" s="4"/>
      <c r="H111" s="4"/>
      <c r="I111" s="6"/>
      <c r="J111" s="6"/>
      <c r="K111" s="6"/>
      <c r="L111" s="4"/>
      <c r="M111" s="4"/>
      <c r="N111" s="4"/>
    </row>
    <row r="112" spans="2:14">
      <c r="B112" s="16"/>
      <c r="C112" s="4"/>
      <c r="D112" s="4"/>
      <c r="E112" s="4"/>
      <c r="F112" s="4"/>
      <c r="G112" s="4"/>
      <c r="H112" s="4"/>
      <c r="I112" s="6"/>
      <c r="J112" s="6"/>
      <c r="K112" s="6"/>
      <c r="L112" s="4"/>
      <c r="M112" s="4"/>
      <c r="N112" s="4"/>
    </row>
    <row r="113" spans="2:14">
      <c r="B113" s="16"/>
      <c r="C113" s="4"/>
      <c r="D113" s="4"/>
      <c r="E113" s="4"/>
      <c r="F113" s="4"/>
      <c r="G113" s="4"/>
      <c r="H113" s="4"/>
      <c r="I113" s="6"/>
      <c r="J113" s="6"/>
      <c r="K113" s="6"/>
      <c r="L113" s="4"/>
      <c r="M113" s="4"/>
      <c r="N113" s="4"/>
    </row>
    <row r="114" spans="2:14">
      <c r="B114" s="16"/>
      <c r="C114" s="4"/>
      <c r="D114" s="4"/>
      <c r="E114" s="4"/>
      <c r="F114" s="4"/>
      <c r="G114" s="4"/>
      <c r="H114" s="4"/>
      <c r="I114" s="6"/>
      <c r="J114" s="6"/>
      <c r="K114" s="6"/>
      <c r="L114" s="4"/>
      <c r="M114" s="4"/>
      <c r="N114" s="4"/>
    </row>
    <row r="115" spans="2:14">
      <c r="B115" s="16"/>
      <c r="C115" s="4"/>
      <c r="D115" s="4"/>
      <c r="E115" s="4"/>
      <c r="F115" s="4"/>
      <c r="G115" s="4"/>
      <c r="H115" s="4"/>
      <c r="I115" s="6"/>
      <c r="J115" s="6"/>
      <c r="K115" s="6"/>
      <c r="L115" s="4"/>
      <c r="M115" s="4"/>
      <c r="N115" s="4"/>
    </row>
    <row r="116" spans="2:14">
      <c r="B116" s="16"/>
      <c r="C116" s="4"/>
      <c r="D116" s="4"/>
      <c r="E116" s="4"/>
      <c r="F116" s="4"/>
      <c r="G116" s="4"/>
      <c r="H116" s="4"/>
      <c r="I116" s="6"/>
      <c r="J116" s="6"/>
      <c r="K116" s="6"/>
      <c r="L116" s="4"/>
      <c r="M116" s="4"/>
      <c r="N116" s="4"/>
    </row>
    <row r="117" spans="2:14">
      <c r="B117" s="16"/>
      <c r="C117" s="4"/>
      <c r="D117" s="4"/>
      <c r="E117" s="4"/>
      <c r="F117" s="4"/>
      <c r="G117" s="4"/>
      <c r="H117" s="4"/>
      <c r="I117" s="6"/>
      <c r="J117" s="6"/>
      <c r="K117" s="6"/>
      <c r="L117" s="4"/>
      <c r="M117" s="4"/>
      <c r="N117" s="4"/>
    </row>
    <row r="118" spans="2:14">
      <c r="B118" s="16"/>
      <c r="C118" s="4"/>
      <c r="D118" s="4"/>
      <c r="E118" s="4"/>
      <c r="F118" s="4"/>
      <c r="G118" s="4"/>
      <c r="H118" s="4"/>
      <c r="I118" s="6"/>
      <c r="J118" s="6"/>
      <c r="K118" s="6"/>
      <c r="L118" s="4"/>
      <c r="M118" s="4"/>
      <c r="N118" s="4"/>
    </row>
    <row r="119" spans="2:14">
      <c r="B119" s="16"/>
      <c r="C119" s="4"/>
      <c r="D119" s="4"/>
      <c r="E119" s="4"/>
      <c r="F119" s="4"/>
      <c r="G119" s="4"/>
      <c r="H119" s="4"/>
      <c r="I119" s="6"/>
      <c r="J119" s="6"/>
      <c r="K119" s="6"/>
      <c r="L119" s="4"/>
      <c r="M119" s="4"/>
      <c r="N119" s="4"/>
    </row>
    <row r="120" spans="2:14">
      <c r="B120" s="16"/>
      <c r="C120" s="4"/>
      <c r="D120" s="4"/>
      <c r="E120" s="4"/>
      <c r="F120" s="4"/>
      <c r="G120" s="4"/>
      <c r="H120" s="4"/>
      <c r="I120" s="6"/>
      <c r="J120" s="6"/>
      <c r="K120" s="6"/>
      <c r="L120" s="4"/>
      <c r="M120" s="4"/>
      <c r="N120" s="4"/>
    </row>
    <row r="121" ht="29" customHeight="1" spans="2:14">
      <c r="B121" s="16"/>
      <c r="C121" s="4"/>
      <c r="D121" s="4"/>
      <c r="E121" s="4"/>
      <c r="F121" s="4"/>
      <c r="G121" s="4"/>
      <c r="H121" s="4"/>
      <c r="I121" s="6"/>
      <c r="J121" s="6"/>
      <c r="K121" s="6"/>
      <c r="L121" s="4"/>
      <c r="M121" s="4"/>
      <c r="N121" s="4"/>
    </row>
    <row r="122" ht="29" customHeight="1" spans="2:14">
      <c r="B122" s="16"/>
      <c r="C122" s="4"/>
      <c r="D122" s="4"/>
      <c r="E122" s="4"/>
      <c r="F122" s="4"/>
      <c r="G122" s="4"/>
      <c r="H122" s="4"/>
      <c r="I122" s="6"/>
      <c r="J122" s="6"/>
      <c r="K122" s="6"/>
      <c r="L122" s="4"/>
      <c r="M122" s="4"/>
      <c r="N122" s="4"/>
    </row>
    <row r="123" ht="29" customHeight="1" spans="2:14">
      <c r="B123" s="16"/>
      <c r="C123" s="4"/>
      <c r="D123" s="4"/>
      <c r="E123" s="4"/>
      <c r="F123" s="4"/>
      <c r="G123" s="4"/>
      <c r="H123" s="4"/>
      <c r="I123" s="6"/>
      <c r="J123" s="6"/>
      <c r="K123" s="6"/>
      <c r="L123" s="4"/>
      <c r="M123" s="4"/>
      <c r="N123" s="4"/>
    </row>
    <row r="124" ht="29" customHeight="1" spans="2:14">
      <c r="B124" s="16"/>
      <c r="C124" s="4"/>
      <c r="D124" s="4"/>
      <c r="E124" s="4"/>
      <c r="F124" s="4"/>
      <c r="G124" s="4"/>
      <c r="H124" s="4"/>
      <c r="I124" s="6"/>
      <c r="J124" s="6"/>
      <c r="K124" s="6"/>
      <c r="L124" s="4"/>
      <c r="M124" s="4"/>
      <c r="N124" s="4"/>
    </row>
    <row r="125" spans="2:14">
      <c r="B125" s="16"/>
      <c r="C125" s="4"/>
      <c r="D125" s="4"/>
      <c r="E125" s="4"/>
      <c r="F125" s="4"/>
      <c r="G125" s="4"/>
      <c r="H125" s="4"/>
      <c r="I125" s="6"/>
      <c r="J125" s="6"/>
      <c r="K125" s="6"/>
      <c r="L125" s="4"/>
      <c r="M125" s="4"/>
      <c r="N125" s="4"/>
    </row>
    <row r="126" ht="29" customHeight="1" spans="2:14">
      <c r="B126" s="16"/>
      <c r="C126" s="4"/>
      <c r="D126" s="4"/>
      <c r="E126" s="4"/>
      <c r="F126" s="4"/>
      <c r="G126" s="4"/>
      <c r="H126" s="4"/>
      <c r="I126" s="6"/>
      <c r="J126" s="6"/>
      <c r="K126" s="6"/>
      <c r="L126" s="4"/>
      <c r="M126" s="4"/>
      <c r="N126" s="4"/>
    </row>
    <row r="127" spans="2:14">
      <c r="B127" s="16"/>
      <c r="C127" s="4"/>
      <c r="D127" s="4"/>
      <c r="E127" s="4"/>
      <c r="F127" s="4"/>
      <c r="G127" s="4"/>
      <c r="H127" s="4"/>
      <c r="I127" s="6"/>
      <c r="J127" s="6"/>
      <c r="K127" s="6"/>
      <c r="L127" s="4"/>
      <c r="M127" s="4"/>
      <c r="N127" s="4"/>
    </row>
    <row r="128" spans="2:14">
      <c r="B128" s="16"/>
      <c r="C128" s="4"/>
      <c r="D128" s="4"/>
      <c r="E128" s="4"/>
      <c r="F128" s="4"/>
      <c r="G128" s="4"/>
      <c r="H128" s="4"/>
      <c r="I128" s="6"/>
      <c r="J128" s="6"/>
      <c r="K128" s="6"/>
      <c r="L128" s="4"/>
      <c r="M128" s="4"/>
      <c r="N128" s="4"/>
    </row>
    <row r="129" spans="2:14">
      <c r="B129" s="16"/>
      <c r="C129" s="4"/>
      <c r="D129" s="4"/>
      <c r="E129" s="4"/>
      <c r="F129" s="4"/>
      <c r="G129" s="4"/>
      <c r="H129" s="4"/>
      <c r="I129" s="6"/>
      <c r="J129" s="6"/>
      <c r="K129" s="6"/>
      <c r="L129" s="4"/>
      <c r="M129" s="4"/>
      <c r="N129" s="4"/>
    </row>
    <row r="130" spans="2:14">
      <c r="B130" s="16"/>
      <c r="C130" s="4"/>
      <c r="D130" s="4"/>
      <c r="E130" s="4"/>
      <c r="F130" s="4"/>
      <c r="G130" s="4"/>
      <c r="H130" s="4"/>
      <c r="I130" s="6"/>
      <c r="J130" s="6"/>
      <c r="K130" s="6"/>
      <c r="L130" s="4"/>
      <c r="M130" s="4"/>
      <c r="N130" s="4"/>
    </row>
    <row r="131" spans="2:14">
      <c r="B131" s="16"/>
      <c r="C131" s="4"/>
      <c r="D131" s="4"/>
      <c r="E131" s="4"/>
      <c r="F131" s="4"/>
      <c r="G131" s="4"/>
      <c r="H131" s="4"/>
      <c r="I131" s="6"/>
      <c r="J131" s="6"/>
      <c r="K131" s="6"/>
      <c r="L131" s="4"/>
      <c r="M131" s="4"/>
      <c r="N131" s="4"/>
    </row>
    <row r="132" spans="2:14">
      <c r="B132" s="16"/>
      <c r="C132" s="4"/>
      <c r="D132" s="4"/>
      <c r="E132" s="4"/>
      <c r="F132" s="4"/>
      <c r="G132" s="4"/>
      <c r="H132" s="4"/>
      <c r="I132" s="6"/>
      <c r="J132" s="6"/>
      <c r="K132" s="6"/>
      <c r="L132" s="4"/>
      <c r="M132" s="4"/>
      <c r="N132" s="4"/>
    </row>
    <row r="133" ht="29" customHeight="1" spans="2:14">
      <c r="B133" s="16"/>
      <c r="C133" s="4"/>
      <c r="D133" s="4"/>
      <c r="E133" s="4"/>
      <c r="F133" s="4"/>
      <c r="G133" s="4"/>
      <c r="H133" s="4"/>
      <c r="I133" s="6"/>
      <c r="J133" s="6"/>
      <c r="K133" s="6"/>
      <c r="L133" s="4"/>
      <c r="M133" s="4"/>
      <c r="N133" s="4"/>
    </row>
    <row r="134" spans="2:14">
      <c r="B134" s="16"/>
      <c r="C134" s="4"/>
      <c r="D134" s="4"/>
      <c r="E134" s="4"/>
      <c r="F134" s="4"/>
      <c r="G134" s="4"/>
      <c r="H134" s="4"/>
      <c r="I134" s="6"/>
      <c r="J134" s="6"/>
      <c r="K134" s="6"/>
      <c r="L134" s="4"/>
      <c r="M134" s="4"/>
      <c r="N134" s="4"/>
    </row>
    <row r="135" spans="2:14">
      <c r="B135" s="16"/>
      <c r="C135" s="4"/>
      <c r="D135" s="4"/>
      <c r="E135" s="4"/>
      <c r="F135" s="4"/>
      <c r="G135" s="4"/>
      <c r="H135" s="4"/>
      <c r="I135" s="6"/>
      <c r="J135" s="6"/>
      <c r="K135" s="6"/>
      <c r="L135" s="4"/>
      <c r="M135" s="4"/>
      <c r="N135" s="4"/>
    </row>
    <row r="136" spans="2:14">
      <c r="B136" s="16"/>
      <c r="C136" s="4"/>
      <c r="D136" s="4"/>
      <c r="E136" s="4"/>
      <c r="F136" s="4"/>
      <c r="G136" s="4"/>
      <c r="H136" s="4"/>
      <c r="I136" s="6"/>
      <c r="J136" s="6"/>
      <c r="K136" s="6"/>
      <c r="L136" s="4"/>
      <c r="M136" s="4"/>
      <c r="N136" s="4"/>
    </row>
    <row r="137" ht="29" customHeight="1" spans="2:14">
      <c r="B137" s="16"/>
      <c r="C137" s="4"/>
      <c r="D137" s="4"/>
      <c r="E137" s="4"/>
      <c r="F137" s="4"/>
      <c r="G137" s="4"/>
      <c r="H137" s="4"/>
      <c r="I137" s="6"/>
      <c r="J137" s="6"/>
      <c r="K137" s="6"/>
      <c r="L137" s="4"/>
      <c r="M137" s="4"/>
      <c r="N137" s="4"/>
    </row>
    <row r="138" spans="2:14">
      <c r="B138" s="16"/>
      <c r="C138" s="4"/>
      <c r="D138" s="4"/>
      <c r="E138" s="4"/>
      <c r="F138" s="4"/>
      <c r="G138" s="4"/>
      <c r="H138" s="4"/>
      <c r="I138" s="6"/>
      <c r="J138" s="6"/>
      <c r="K138" s="6"/>
      <c r="L138" s="4"/>
      <c r="M138" s="4"/>
      <c r="N138" s="4"/>
    </row>
    <row r="139" spans="2:14">
      <c r="B139" s="16"/>
      <c r="C139" s="4"/>
      <c r="D139" s="4"/>
      <c r="E139" s="4"/>
      <c r="F139" s="4"/>
      <c r="G139" s="4"/>
      <c r="H139" s="4"/>
      <c r="I139" s="6"/>
      <c r="J139" s="6"/>
      <c r="K139" s="6"/>
      <c r="L139" s="4"/>
      <c r="M139" s="4"/>
      <c r="N139" s="4"/>
    </row>
    <row r="140" spans="2:14">
      <c r="B140" s="16"/>
      <c r="C140" s="4"/>
      <c r="D140" s="4"/>
      <c r="E140" s="4"/>
      <c r="F140" s="4"/>
      <c r="G140" s="4"/>
      <c r="H140" s="4"/>
      <c r="I140" s="6"/>
      <c r="J140" s="6"/>
      <c r="K140" s="6"/>
      <c r="L140" s="4"/>
      <c r="M140" s="4"/>
      <c r="N140" s="4"/>
    </row>
    <row r="141" spans="2:14">
      <c r="B141" s="16"/>
      <c r="C141" s="4"/>
      <c r="D141" s="4"/>
      <c r="E141" s="4"/>
      <c r="F141" s="4"/>
      <c r="G141" s="4"/>
      <c r="H141" s="4"/>
      <c r="I141" s="6"/>
      <c r="J141" s="6"/>
      <c r="K141" s="6"/>
      <c r="L141" s="4"/>
      <c r="M141" s="4"/>
      <c r="N141" s="4"/>
    </row>
    <row r="142" spans="2:14">
      <c r="B142" s="16"/>
      <c r="C142" s="4"/>
      <c r="D142" s="4"/>
      <c r="E142" s="4"/>
      <c r="F142" s="4"/>
      <c r="G142" s="4"/>
      <c r="H142" s="4"/>
      <c r="I142" s="6"/>
      <c r="J142" s="6"/>
      <c r="K142" s="6"/>
      <c r="L142" s="4"/>
      <c r="M142" s="4"/>
      <c r="N142" s="4"/>
    </row>
    <row r="143" spans="2:14">
      <c r="B143" s="16"/>
      <c r="C143" s="4"/>
      <c r="D143" s="4"/>
      <c r="E143" s="4"/>
      <c r="F143" s="4"/>
      <c r="G143" s="4"/>
      <c r="H143" s="4"/>
      <c r="I143" s="6"/>
      <c r="J143" s="6"/>
      <c r="K143" s="6"/>
      <c r="L143" s="4"/>
      <c r="M143" s="4"/>
      <c r="N143" s="4"/>
    </row>
    <row r="144" spans="2:14">
      <c r="B144" s="16"/>
      <c r="C144" s="4"/>
      <c r="D144" s="4"/>
      <c r="E144" s="4"/>
      <c r="F144" s="4"/>
      <c r="G144" s="4"/>
      <c r="H144" s="4"/>
      <c r="I144" s="6"/>
      <c r="J144" s="6"/>
      <c r="K144" s="6"/>
      <c r="L144" s="4"/>
      <c r="M144" s="4"/>
      <c r="N144" s="4"/>
    </row>
    <row r="145" spans="2:14">
      <c r="B145" s="16"/>
      <c r="C145" s="4"/>
      <c r="D145" s="4"/>
      <c r="E145" s="4"/>
      <c r="F145" s="4"/>
      <c r="G145" s="4"/>
      <c r="H145" s="4"/>
      <c r="I145" s="6"/>
      <c r="J145" s="6"/>
      <c r="K145" s="6"/>
      <c r="L145" s="4"/>
      <c r="M145" s="4"/>
      <c r="N145" s="4"/>
    </row>
    <row r="146" spans="2:14">
      <c r="B146" s="16"/>
      <c r="C146" s="4"/>
      <c r="D146" s="4"/>
      <c r="E146" s="4"/>
      <c r="F146" s="4"/>
      <c r="G146" s="4"/>
      <c r="H146" s="4"/>
      <c r="I146" s="6"/>
      <c r="J146" s="6"/>
      <c r="K146" s="6"/>
      <c r="L146" s="4"/>
      <c r="M146" s="4"/>
      <c r="N146" s="4"/>
    </row>
    <row r="147" spans="2:14">
      <c r="B147" s="16"/>
      <c r="C147" s="4"/>
      <c r="D147" s="4"/>
      <c r="E147" s="4"/>
      <c r="F147" s="4"/>
      <c r="G147" s="4"/>
      <c r="H147" s="4"/>
      <c r="I147" s="6"/>
      <c r="J147" s="6"/>
      <c r="K147" s="6"/>
      <c r="L147" s="4"/>
      <c r="M147" s="4"/>
      <c r="N147" s="4"/>
    </row>
    <row r="148" spans="2:14">
      <c r="B148" s="16"/>
      <c r="C148" s="4"/>
      <c r="D148" s="4"/>
      <c r="E148" s="4"/>
      <c r="F148" s="4"/>
      <c r="G148" s="4"/>
      <c r="H148" s="4"/>
      <c r="I148" s="6"/>
      <c r="J148" s="6"/>
      <c r="K148" s="6"/>
      <c r="L148" s="4"/>
      <c r="M148" s="4"/>
      <c r="N148" s="4"/>
    </row>
    <row r="149" spans="2:14">
      <c r="B149" s="16"/>
      <c r="C149" s="4"/>
      <c r="D149" s="4"/>
      <c r="E149" s="4"/>
      <c r="F149" s="4"/>
      <c r="G149" s="4"/>
      <c r="H149" s="4"/>
      <c r="I149" s="6"/>
      <c r="J149" s="6"/>
      <c r="K149" s="6"/>
      <c r="L149" s="4"/>
      <c r="M149" s="4"/>
      <c r="N149" s="4"/>
    </row>
    <row r="150" ht="29" customHeight="1" spans="2:14">
      <c r="B150" s="16"/>
      <c r="C150" s="4"/>
      <c r="D150" s="4"/>
      <c r="E150" s="4"/>
      <c r="F150" s="4"/>
      <c r="G150" s="4"/>
      <c r="H150" s="4"/>
      <c r="I150" s="6"/>
      <c r="J150" s="6"/>
      <c r="K150" s="6"/>
      <c r="L150" s="4"/>
      <c r="M150" s="4"/>
      <c r="N150" s="4"/>
    </row>
    <row r="151" ht="43.5" customHeight="1" spans="2:14">
      <c r="B151" s="16"/>
      <c r="C151" s="4"/>
      <c r="D151" s="4"/>
      <c r="E151" s="4"/>
      <c r="F151" s="4"/>
      <c r="G151" s="4"/>
      <c r="H151" s="4"/>
      <c r="I151" s="6"/>
      <c r="J151" s="6"/>
      <c r="K151" s="6"/>
      <c r="L151" s="4"/>
      <c r="M151" s="4"/>
      <c r="N151" s="4"/>
    </row>
    <row r="152" ht="29" customHeight="1" spans="2:14">
      <c r="B152" s="16"/>
      <c r="C152" s="4"/>
      <c r="D152" s="4"/>
      <c r="E152" s="4"/>
      <c r="F152" s="4"/>
      <c r="G152" s="4"/>
      <c r="H152" s="4"/>
      <c r="I152" s="6"/>
      <c r="J152" s="6"/>
      <c r="K152" s="6"/>
      <c r="L152" s="4"/>
      <c r="M152" s="4"/>
      <c r="N152" s="4"/>
    </row>
    <row r="153" ht="29" customHeight="1" spans="2:14">
      <c r="B153" s="16"/>
      <c r="C153" s="4"/>
      <c r="D153" s="4"/>
      <c r="E153" s="4"/>
      <c r="F153" s="4"/>
      <c r="G153" s="4"/>
      <c r="H153" s="4"/>
      <c r="I153" s="6"/>
      <c r="J153" s="6"/>
      <c r="K153" s="6"/>
      <c r="L153" s="4"/>
      <c r="M153" s="4"/>
      <c r="N153" s="4"/>
    </row>
    <row r="154" spans="2:14">
      <c r="B154" s="16"/>
      <c r="C154" s="4"/>
      <c r="D154" s="4"/>
      <c r="E154" s="4"/>
      <c r="F154" s="4"/>
      <c r="G154" s="4"/>
      <c r="H154" s="4"/>
      <c r="I154" s="6"/>
      <c r="J154" s="6"/>
      <c r="K154" s="6"/>
      <c r="L154" s="4"/>
      <c r="M154" s="4"/>
      <c r="N154" s="4"/>
    </row>
    <row r="155" spans="2:14">
      <c r="B155" s="16"/>
      <c r="C155" s="4"/>
      <c r="D155" s="4"/>
      <c r="E155" s="4"/>
      <c r="F155" s="4"/>
      <c r="G155" s="4"/>
      <c r="H155" s="4"/>
      <c r="I155" s="6"/>
      <c r="J155" s="6"/>
      <c r="K155" s="6"/>
      <c r="L155" s="4"/>
      <c r="M155" s="4"/>
      <c r="N155" s="4"/>
    </row>
    <row r="156" spans="2:14">
      <c r="B156" s="16"/>
      <c r="C156" s="4"/>
      <c r="D156" s="4"/>
      <c r="E156" s="4"/>
      <c r="F156" s="4"/>
      <c r="G156" s="4"/>
      <c r="H156" s="4"/>
      <c r="I156" s="6"/>
      <c r="J156" s="6"/>
      <c r="K156" s="6"/>
      <c r="L156" s="4"/>
      <c r="M156" s="4"/>
      <c r="N156" s="4"/>
    </row>
    <row r="157" spans="2:14">
      <c r="B157" s="16"/>
      <c r="C157" s="4"/>
      <c r="D157" s="4"/>
      <c r="E157" s="4"/>
      <c r="F157" s="4"/>
      <c r="G157" s="4"/>
      <c r="H157" s="4"/>
      <c r="I157" s="6"/>
      <c r="J157" s="6"/>
      <c r="K157" s="6"/>
      <c r="L157" s="4"/>
      <c r="M157" s="4"/>
      <c r="N157" s="4"/>
    </row>
    <row r="158" ht="29" customHeight="1" spans="2:14">
      <c r="B158" s="16"/>
      <c r="C158" s="4"/>
      <c r="D158" s="4"/>
      <c r="E158" s="4"/>
      <c r="F158" s="4"/>
      <c r="G158" s="4"/>
      <c r="H158" s="4"/>
      <c r="I158" s="6"/>
      <c r="J158" s="6"/>
      <c r="K158" s="6"/>
      <c r="L158" s="4"/>
      <c r="M158" s="4"/>
      <c r="N158" s="4"/>
    </row>
    <row r="159" ht="29" customHeight="1" spans="2:14">
      <c r="B159" s="16"/>
      <c r="C159" s="4"/>
      <c r="D159" s="4"/>
      <c r="E159" s="4"/>
      <c r="F159" s="4"/>
      <c r="G159" s="4"/>
      <c r="H159" s="4"/>
      <c r="I159" s="6"/>
      <c r="J159" s="6"/>
      <c r="K159" s="6"/>
      <c r="L159" s="4"/>
      <c r="M159" s="4"/>
      <c r="N159" s="4"/>
    </row>
    <row r="160" ht="29" customHeight="1" spans="2:14">
      <c r="B160" s="16"/>
      <c r="C160" s="4"/>
      <c r="D160" s="4"/>
      <c r="E160" s="4"/>
      <c r="F160" s="4"/>
      <c r="G160" s="4"/>
      <c r="H160" s="4"/>
      <c r="I160" s="6"/>
      <c r="J160" s="6"/>
      <c r="K160" s="6"/>
      <c r="L160" s="4"/>
      <c r="M160" s="4"/>
      <c r="N160" s="4"/>
    </row>
    <row r="161" ht="29" customHeight="1" spans="2:14">
      <c r="B161" s="16"/>
      <c r="C161" s="4"/>
      <c r="D161" s="4"/>
      <c r="E161" s="4"/>
      <c r="F161" s="4"/>
      <c r="G161" s="4"/>
      <c r="H161" s="4"/>
      <c r="I161" s="6"/>
      <c r="J161" s="6"/>
      <c r="K161" s="6"/>
      <c r="L161" s="4"/>
      <c r="M161" s="4"/>
      <c r="N161" s="4"/>
    </row>
    <row r="162" ht="29" customHeight="1" spans="2:14">
      <c r="B162" s="16"/>
      <c r="C162" s="4"/>
      <c r="D162" s="4"/>
      <c r="E162" s="4"/>
      <c r="F162" s="4"/>
      <c r="G162" s="4"/>
      <c r="H162" s="4"/>
      <c r="I162" s="6"/>
      <c r="J162" s="6"/>
      <c r="K162" s="6"/>
      <c r="L162" s="4"/>
      <c r="M162" s="4"/>
      <c r="N162" s="4"/>
    </row>
    <row r="163" ht="29" customHeight="1" spans="2:14">
      <c r="B163" s="16"/>
      <c r="C163" s="4"/>
      <c r="D163" s="4"/>
      <c r="E163" s="4"/>
      <c r="F163" s="4"/>
      <c r="G163" s="4"/>
      <c r="H163" s="4"/>
      <c r="I163" s="6"/>
      <c r="J163" s="6"/>
      <c r="K163" s="6"/>
      <c r="L163" s="4"/>
      <c r="M163" s="4"/>
      <c r="N163" s="4"/>
    </row>
    <row r="164" ht="29" customHeight="1" spans="2:14">
      <c r="B164" s="16"/>
      <c r="C164" s="4"/>
      <c r="D164" s="4"/>
      <c r="E164" s="4"/>
      <c r="F164" s="4"/>
      <c r="G164" s="4"/>
      <c r="H164" s="4"/>
      <c r="I164" s="6"/>
      <c r="J164" s="6"/>
      <c r="K164" s="6"/>
      <c r="L164" s="4"/>
      <c r="M164" s="4"/>
      <c r="N164" s="4"/>
    </row>
    <row r="165" spans="2:14">
      <c r="B165" s="16"/>
      <c r="C165" s="4"/>
      <c r="D165" s="4"/>
      <c r="E165" s="4"/>
      <c r="F165" s="4"/>
      <c r="G165" s="4"/>
      <c r="H165" s="4"/>
      <c r="I165" s="6"/>
      <c r="J165" s="6"/>
      <c r="K165" s="6"/>
      <c r="L165" s="4"/>
      <c r="M165" s="4"/>
      <c r="N165" s="4"/>
    </row>
    <row r="166" spans="2:14">
      <c r="B166" s="16"/>
      <c r="C166" s="4"/>
      <c r="D166" s="4"/>
      <c r="E166" s="4"/>
      <c r="F166" s="4"/>
      <c r="G166" s="4"/>
      <c r="H166" s="4"/>
      <c r="I166" s="6"/>
      <c r="J166" s="6"/>
      <c r="K166" s="6"/>
      <c r="L166" s="4"/>
      <c r="M166" s="4"/>
      <c r="N166" s="4"/>
    </row>
    <row r="167" spans="2:14">
      <c r="B167" s="16"/>
      <c r="C167" s="4"/>
      <c r="D167" s="4"/>
      <c r="E167" s="4"/>
      <c r="F167" s="4"/>
      <c r="G167" s="4"/>
      <c r="H167" s="4"/>
      <c r="I167" s="6"/>
      <c r="J167" s="6"/>
      <c r="K167" s="6"/>
      <c r="L167" s="4"/>
      <c r="M167" s="4"/>
      <c r="N167" s="4"/>
    </row>
    <row r="168" ht="29" customHeight="1" spans="2:14">
      <c r="B168" s="16"/>
      <c r="C168" s="4"/>
      <c r="D168" s="4"/>
      <c r="E168" s="4"/>
      <c r="F168" s="4"/>
      <c r="G168" s="4"/>
      <c r="H168" s="4"/>
      <c r="I168" s="6"/>
      <c r="J168" s="6"/>
      <c r="K168" s="6"/>
      <c r="L168" s="4"/>
      <c r="M168" s="4"/>
      <c r="N168" s="4"/>
    </row>
    <row r="169" ht="29" customHeight="1" spans="2:14">
      <c r="B169" s="16"/>
      <c r="C169" s="4"/>
      <c r="D169" s="4"/>
      <c r="E169" s="4"/>
      <c r="F169" s="4"/>
      <c r="G169" s="4"/>
      <c r="H169" s="4"/>
      <c r="I169" s="6"/>
      <c r="J169" s="6"/>
      <c r="K169" s="6"/>
      <c r="L169" s="4"/>
      <c r="M169" s="4"/>
      <c r="N169" s="4"/>
    </row>
    <row r="170" ht="29" customHeight="1" spans="2:14">
      <c r="B170" s="16"/>
      <c r="C170" s="4"/>
      <c r="D170" s="4"/>
      <c r="E170" s="4"/>
      <c r="F170" s="4"/>
      <c r="G170" s="4"/>
      <c r="H170" s="4"/>
      <c r="I170" s="6"/>
      <c r="J170" s="6"/>
      <c r="K170" s="6"/>
      <c r="L170" s="4"/>
      <c r="M170" s="4"/>
      <c r="N170" s="4"/>
    </row>
    <row r="171" ht="29" customHeight="1" spans="2:14">
      <c r="B171" s="16"/>
      <c r="C171" s="4"/>
      <c r="D171" s="4"/>
      <c r="E171" s="4"/>
      <c r="F171" s="4"/>
      <c r="G171" s="4"/>
      <c r="H171" s="4"/>
      <c r="I171" s="6"/>
      <c r="J171" s="6"/>
      <c r="K171" s="6"/>
      <c r="L171" s="4"/>
      <c r="M171" s="4"/>
      <c r="N171" s="4"/>
    </row>
    <row r="172" spans="2:14">
      <c r="B172" s="16"/>
      <c r="C172" s="4"/>
      <c r="D172" s="4"/>
      <c r="E172" s="4"/>
      <c r="F172" s="4"/>
      <c r="G172" s="4"/>
      <c r="H172" s="4"/>
      <c r="I172" s="6"/>
      <c r="J172" s="6"/>
      <c r="K172" s="6"/>
      <c r="L172" s="4"/>
      <c r="M172" s="4"/>
      <c r="N172" s="4"/>
    </row>
    <row r="173" ht="29" customHeight="1" spans="2:14">
      <c r="B173" s="16"/>
      <c r="C173" s="4"/>
      <c r="D173" s="4"/>
      <c r="E173" s="4"/>
      <c r="F173" s="4"/>
      <c r="G173" s="4"/>
      <c r="H173" s="4"/>
      <c r="I173" s="6"/>
      <c r="J173" s="6"/>
      <c r="K173" s="6"/>
      <c r="L173" s="4"/>
      <c r="M173" s="4"/>
      <c r="N173" s="4"/>
    </row>
    <row r="174" ht="29" customHeight="1" spans="2:14">
      <c r="B174" s="16"/>
      <c r="C174" s="4"/>
      <c r="D174" s="4"/>
      <c r="E174" s="4"/>
      <c r="F174" s="4"/>
      <c r="G174" s="4"/>
      <c r="H174" s="4"/>
      <c r="I174" s="6"/>
      <c r="J174" s="6"/>
      <c r="K174" s="6"/>
      <c r="L174" s="4"/>
      <c r="M174" s="4"/>
      <c r="N174" s="4"/>
    </row>
    <row r="175" ht="29" customHeight="1" spans="2:14">
      <c r="B175" s="16"/>
      <c r="C175" s="4"/>
      <c r="D175" s="4"/>
      <c r="E175" s="4"/>
      <c r="F175" s="4"/>
      <c r="G175" s="4"/>
      <c r="H175" s="4"/>
      <c r="I175" s="6"/>
      <c r="J175" s="6"/>
      <c r="K175" s="6"/>
      <c r="L175" s="4"/>
      <c r="M175" s="4"/>
      <c r="N175" s="4"/>
    </row>
    <row r="176" ht="29" customHeight="1" spans="2:14">
      <c r="B176" s="16"/>
      <c r="C176" s="4"/>
      <c r="D176" s="4"/>
      <c r="E176" s="4"/>
      <c r="F176" s="4"/>
      <c r="G176" s="4"/>
      <c r="H176" s="4"/>
      <c r="I176" s="6"/>
      <c r="J176" s="6"/>
      <c r="K176" s="6"/>
      <c r="L176" s="4"/>
      <c r="M176" s="4"/>
      <c r="N176" s="4"/>
    </row>
    <row r="177" ht="29" customHeight="1" spans="2:14">
      <c r="B177" s="16"/>
      <c r="C177" s="4"/>
      <c r="D177" s="4"/>
      <c r="E177" s="4"/>
      <c r="F177" s="4"/>
      <c r="G177" s="4"/>
      <c r="H177" s="4"/>
      <c r="I177" s="6"/>
      <c r="J177" s="6"/>
      <c r="K177" s="6"/>
      <c r="L177" s="4"/>
      <c r="M177" s="4"/>
      <c r="N177" s="4"/>
    </row>
    <row r="178" spans="2:14">
      <c r="B178" s="16"/>
      <c r="C178" s="4"/>
      <c r="D178" s="4"/>
      <c r="E178" s="4"/>
      <c r="F178" s="4"/>
      <c r="G178" s="4"/>
      <c r="H178" s="4"/>
      <c r="I178" s="6"/>
      <c r="J178" s="6"/>
      <c r="K178" s="6"/>
      <c r="L178" s="4"/>
      <c r="M178" s="4"/>
      <c r="N178" s="4"/>
    </row>
    <row r="179" spans="2:14">
      <c r="B179" s="16"/>
      <c r="C179" s="4"/>
      <c r="D179" s="4"/>
      <c r="E179" s="4"/>
      <c r="F179" s="4"/>
      <c r="G179" s="4"/>
      <c r="H179" s="4"/>
      <c r="I179" s="6"/>
      <c r="J179" s="6"/>
      <c r="K179" s="6"/>
      <c r="L179" s="4"/>
      <c r="M179" s="4"/>
      <c r="N179" s="4"/>
    </row>
    <row r="180" spans="2:14">
      <c r="B180" s="16"/>
      <c r="C180" s="4"/>
      <c r="D180" s="4"/>
      <c r="E180" s="4"/>
      <c r="F180" s="4"/>
      <c r="G180" s="4"/>
      <c r="H180" s="4"/>
      <c r="I180" s="6"/>
      <c r="J180" s="6"/>
      <c r="K180" s="6"/>
      <c r="L180" s="4"/>
      <c r="M180" s="4"/>
      <c r="N180" s="4"/>
    </row>
    <row r="181" ht="29" customHeight="1" spans="2:14">
      <c r="B181" s="16"/>
      <c r="C181" s="4"/>
      <c r="D181" s="4"/>
      <c r="E181" s="4"/>
      <c r="F181" s="4"/>
      <c r="G181" s="4"/>
      <c r="H181" s="4"/>
      <c r="I181" s="6"/>
      <c r="J181" s="6"/>
      <c r="K181" s="6"/>
      <c r="L181" s="4"/>
      <c r="M181" s="4"/>
      <c r="N181" s="4"/>
    </row>
    <row r="182" ht="29" customHeight="1" spans="2:14">
      <c r="B182" s="16"/>
      <c r="C182" s="4"/>
      <c r="D182" s="4"/>
      <c r="E182" s="4"/>
      <c r="F182" s="4"/>
      <c r="G182" s="4"/>
      <c r="H182" s="4"/>
      <c r="I182" s="6"/>
      <c r="J182" s="6"/>
      <c r="K182" s="6"/>
      <c r="L182" s="4"/>
      <c r="M182" s="4"/>
      <c r="N182" s="4"/>
    </row>
    <row r="183" ht="29" customHeight="1" spans="2:14">
      <c r="B183" s="16"/>
      <c r="C183" s="4"/>
      <c r="D183" s="4"/>
      <c r="E183" s="4"/>
      <c r="F183" s="4"/>
      <c r="G183" s="4"/>
      <c r="H183" s="4"/>
      <c r="I183" s="6"/>
      <c r="J183" s="6"/>
      <c r="K183" s="6"/>
      <c r="L183" s="4"/>
      <c r="M183" s="4"/>
      <c r="N183" s="4"/>
    </row>
    <row r="184" ht="29" customHeight="1" spans="2:14">
      <c r="B184" s="16"/>
      <c r="C184" s="4"/>
      <c r="D184" s="4"/>
      <c r="E184" s="4"/>
      <c r="F184" s="4"/>
      <c r="G184" s="4"/>
      <c r="H184" s="4"/>
      <c r="I184" s="6"/>
      <c r="J184" s="6"/>
      <c r="K184" s="6"/>
      <c r="L184" s="4"/>
      <c r="M184" s="4"/>
      <c r="N184" s="4"/>
    </row>
    <row r="185" ht="29" customHeight="1" spans="2:14">
      <c r="B185" s="16"/>
      <c r="C185" s="4"/>
      <c r="D185" s="4"/>
      <c r="E185" s="4"/>
      <c r="F185" s="4"/>
      <c r="G185" s="4"/>
      <c r="H185" s="4"/>
      <c r="I185" s="6"/>
      <c r="J185" s="6"/>
      <c r="K185" s="6"/>
      <c r="L185" s="4"/>
      <c r="M185" s="4"/>
      <c r="N185" s="4"/>
    </row>
    <row r="186" ht="29" customHeight="1" spans="2:14">
      <c r="B186" s="16"/>
      <c r="C186" s="4"/>
      <c r="D186" s="4"/>
      <c r="E186" s="4"/>
      <c r="F186" s="4"/>
      <c r="G186" s="4"/>
      <c r="H186" s="4"/>
      <c r="I186" s="6"/>
      <c r="J186" s="6"/>
      <c r="K186" s="6"/>
      <c r="L186" s="4"/>
      <c r="M186" s="4"/>
      <c r="N186" s="4"/>
    </row>
    <row r="187" ht="29" customHeight="1" spans="2:14">
      <c r="B187" s="16"/>
      <c r="C187" s="4"/>
      <c r="D187" s="4"/>
      <c r="E187" s="4"/>
      <c r="F187" s="4"/>
      <c r="G187" s="4"/>
      <c r="H187" s="4"/>
      <c r="I187" s="6"/>
      <c r="J187" s="6"/>
      <c r="K187" s="6"/>
      <c r="L187" s="4"/>
      <c r="M187" s="4"/>
      <c r="N187" s="4"/>
    </row>
    <row r="188" ht="29" customHeight="1" spans="2:14">
      <c r="B188" s="16"/>
      <c r="C188" s="4"/>
      <c r="D188" s="4"/>
      <c r="E188" s="4"/>
      <c r="F188" s="4"/>
      <c r="G188" s="4"/>
      <c r="H188" s="4"/>
      <c r="I188" s="6"/>
      <c r="J188" s="6"/>
      <c r="K188" s="6"/>
      <c r="L188" s="4"/>
      <c r="M188" s="4"/>
      <c r="N188" s="4"/>
    </row>
    <row r="189" ht="29" customHeight="1" spans="2:14">
      <c r="B189" s="16"/>
      <c r="C189" s="4"/>
      <c r="D189" s="4"/>
      <c r="E189" s="4"/>
      <c r="F189" s="4"/>
      <c r="G189" s="4"/>
      <c r="H189" s="4"/>
      <c r="I189" s="6"/>
      <c r="J189" s="6"/>
      <c r="K189" s="6"/>
      <c r="L189" s="4"/>
      <c r="M189" s="4"/>
      <c r="N189" s="4"/>
    </row>
    <row r="190" ht="29" customHeight="1" spans="2:14">
      <c r="B190" s="16"/>
      <c r="C190" s="4"/>
      <c r="D190" s="4"/>
      <c r="E190" s="4"/>
      <c r="F190" s="4"/>
      <c r="G190" s="4"/>
      <c r="H190" s="4"/>
      <c r="I190" s="6"/>
      <c r="J190" s="6"/>
      <c r="K190" s="6"/>
      <c r="L190" s="4"/>
      <c r="M190" s="4"/>
      <c r="N190" s="4"/>
    </row>
    <row r="191" ht="29" customHeight="1" spans="2:14">
      <c r="B191" s="16"/>
      <c r="C191" s="4"/>
      <c r="D191" s="4"/>
      <c r="E191" s="4"/>
      <c r="F191" s="4"/>
      <c r="G191" s="4"/>
      <c r="H191" s="4"/>
      <c r="I191" s="6"/>
      <c r="J191" s="6"/>
      <c r="K191" s="6"/>
      <c r="L191" s="4"/>
      <c r="M191" s="4"/>
      <c r="N191" s="4"/>
    </row>
    <row r="192" spans="2:14">
      <c r="B192" s="16"/>
      <c r="C192" s="4"/>
      <c r="D192" s="4"/>
      <c r="E192" s="4"/>
      <c r="F192" s="4"/>
      <c r="G192" s="4"/>
      <c r="H192" s="4"/>
      <c r="I192" s="6"/>
      <c r="J192" s="6"/>
      <c r="K192" s="6"/>
      <c r="L192" s="4"/>
      <c r="M192" s="4"/>
      <c r="N192" s="4"/>
    </row>
    <row r="193" spans="2:14">
      <c r="B193" s="16"/>
      <c r="C193" s="4"/>
      <c r="D193" s="4"/>
      <c r="E193" s="4"/>
      <c r="F193" s="4"/>
      <c r="G193" s="4"/>
      <c r="H193" s="4"/>
      <c r="I193" s="6"/>
      <c r="J193" s="6"/>
      <c r="K193" s="6"/>
      <c r="L193" s="4"/>
      <c r="M193" s="4"/>
      <c r="N193" s="4"/>
    </row>
    <row r="194" spans="2:14">
      <c r="B194" s="16"/>
      <c r="C194" s="4"/>
      <c r="D194" s="4"/>
      <c r="E194" s="4"/>
      <c r="F194" s="4"/>
      <c r="G194" s="4"/>
      <c r="H194" s="4"/>
      <c r="I194" s="6"/>
      <c r="J194" s="6"/>
      <c r="K194" s="6"/>
      <c r="L194" s="4"/>
      <c r="M194" s="4"/>
      <c r="N194" s="4"/>
    </row>
    <row r="195" ht="29" customHeight="1" spans="2:14">
      <c r="B195" s="16"/>
      <c r="C195" s="4"/>
      <c r="D195" s="4"/>
      <c r="E195" s="4"/>
      <c r="F195" s="4"/>
      <c r="G195" s="4"/>
      <c r="H195" s="4"/>
      <c r="I195" s="6"/>
      <c r="J195" s="6"/>
      <c r="K195" s="6"/>
      <c r="L195" s="4"/>
      <c r="M195" s="4"/>
      <c r="N195" s="4"/>
    </row>
    <row r="196" ht="29" customHeight="1" spans="2:14">
      <c r="B196" s="16"/>
      <c r="C196" s="4"/>
      <c r="D196" s="4"/>
      <c r="E196" s="4"/>
      <c r="F196" s="4"/>
      <c r="G196" s="4"/>
      <c r="H196" s="4"/>
      <c r="I196" s="6"/>
      <c r="J196" s="6"/>
      <c r="K196" s="6"/>
      <c r="L196" s="4"/>
      <c r="M196" s="4"/>
      <c r="N196" s="4"/>
    </row>
    <row r="197" ht="29" customHeight="1" spans="2:14">
      <c r="B197" s="16"/>
      <c r="C197" s="4"/>
      <c r="D197" s="4"/>
      <c r="E197" s="4"/>
      <c r="F197" s="4"/>
      <c r="G197" s="4"/>
      <c r="H197" s="4"/>
      <c r="I197" s="6"/>
      <c r="J197" s="6"/>
      <c r="K197" s="6"/>
      <c r="L197" s="4"/>
      <c r="M197" s="4"/>
      <c r="N197" s="4"/>
    </row>
    <row r="198" ht="29" customHeight="1" spans="2:14">
      <c r="B198" s="16"/>
      <c r="C198" s="4"/>
      <c r="D198" s="4"/>
      <c r="E198" s="4"/>
      <c r="F198" s="4"/>
      <c r="G198" s="4"/>
      <c r="H198" s="4"/>
      <c r="I198" s="6"/>
      <c r="J198" s="6"/>
      <c r="K198" s="6"/>
      <c r="L198" s="4"/>
      <c r="M198" s="4"/>
      <c r="N198" s="4"/>
    </row>
    <row r="199" spans="2:14">
      <c r="B199" s="16"/>
      <c r="C199" s="4"/>
      <c r="D199" s="4"/>
      <c r="E199" s="4"/>
      <c r="F199" s="4"/>
      <c r="G199" s="4"/>
      <c r="H199" s="4"/>
      <c r="I199" s="6"/>
      <c r="J199" s="6"/>
      <c r="K199" s="6"/>
      <c r="L199" s="4"/>
      <c r="M199" s="4"/>
      <c r="N199" s="4"/>
    </row>
    <row r="200" spans="2:14">
      <c r="B200" s="16"/>
      <c r="C200" s="4"/>
      <c r="D200" s="4"/>
      <c r="E200" s="4"/>
      <c r="F200" s="4"/>
      <c r="G200" s="4"/>
      <c r="H200" s="4"/>
      <c r="I200" s="6"/>
      <c r="J200" s="6"/>
      <c r="K200" s="6"/>
      <c r="L200" s="4"/>
      <c r="M200" s="4"/>
      <c r="N200" s="4"/>
    </row>
    <row r="201" spans="2:14">
      <c r="B201" s="16"/>
      <c r="C201" s="4"/>
      <c r="D201" s="4"/>
      <c r="E201" s="4"/>
      <c r="F201" s="4"/>
      <c r="G201" s="4"/>
      <c r="H201" s="4"/>
      <c r="I201" s="6"/>
      <c r="J201" s="6"/>
      <c r="K201" s="6"/>
      <c r="L201" s="4"/>
      <c r="M201" s="4"/>
      <c r="N201" s="4"/>
    </row>
    <row r="202" ht="29" customHeight="1" spans="2:14">
      <c r="B202" s="16"/>
      <c r="C202" s="4"/>
      <c r="D202" s="4"/>
      <c r="E202" s="4"/>
      <c r="F202" s="4"/>
      <c r="G202" s="4"/>
      <c r="H202" s="4"/>
      <c r="I202" s="6"/>
      <c r="J202" s="6"/>
      <c r="K202" s="6"/>
      <c r="L202" s="4"/>
      <c r="M202" s="4"/>
      <c r="N202" s="4"/>
    </row>
    <row r="203" spans="2:14">
      <c r="B203" s="16"/>
      <c r="C203" s="4"/>
      <c r="D203" s="4"/>
      <c r="E203" s="4"/>
      <c r="F203" s="4"/>
      <c r="G203" s="4"/>
      <c r="H203" s="4"/>
      <c r="I203" s="6"/>
      <c r="J203" s="6"/>
      <c r="K203" s="6"/>
      <c r="L203" s="4"/>
      <c r="M203" s="4"/>
      <c r="N203" s="4"/>
    </row>
    <row r="204" spans="2:14">
      <c r="B204" s="16"/>
      <c r="C204" s="4"/>
      <c r="D204" s="4"/>
      <c r="E204" s="4"/>
      <c r="F204" s="4"/>
      <c r="G204" s="4"/>
      <c r="H204" s="4"/>
      <c r="I204" s="6"/>
      <c r="J204" s="6"/>
      <c r="K204" s="6"/>
      <c r="L204" s="4"/>
      <c r="M204" s="4"/>
      <c r="N204" s="4"/>
    </row>
    <row r="205" spans="2:14">
      <c r="B205" s="16"/>
      <c r="C205" s="4"/>
      <c r="D205" s="4"/>
      <c r="E205" s="4"/>
      <c r="F205" s="4"/>
      <c r="G205" s="4"/>
      <c r="H205" s="4"/>
      <c r="I205" s="6"/>
      <c r="J205" s="6"/>
      <c r="K205" s="6"/>
      <c r="L205" s="4"/>
      <c r="M205" s="4"/>
      <c r="N205" s="4"/>
    </row>
    <row r="206" spans="2:14">
      <c r="B206" s="16"/>
      <c r="C206" s="4"/>
      <c r="D206" s="4"/>
      <c r="E206" s="4"/>
      <c r="F206" s="4"/>
      <c r="G206" s="4"/>
      <c r="H206" s="4"/>
      <c r="I206" s="6"/>
      <c r="J206" s="6"/>
      <c r="K206" s="6"/>
      <c r="L206" s="4"/>
      <c r="M206" s="4"/>
      <c r="N206" s="4"/>
    </row>
    <row r="207" spans="2:14">
      <c r="B207" s="16"/>
      <c r="C207" s="4"/>
      <c r="D207" s="4"/>
      <c r="E207" s="4"/>
      <c r="F207" s="4"/>
      <c r="G207" s="4"/>
      <c r="H207" s="4"/>
      <c r="I207" s="6"/>
      <c r="J207" s="6"/>
      <c r="K207" s="6"/>
      <c r="L207" s="4"/>
      <c r="M207" s="4"/>
      <c r="N207" s="4"/>
    </row>
    <row r="208" spans="2:14">
      <c r="B208" s="16"/>
      <c r="C208" s="4"/>
      <c r="D208" s="4"/>
      <c r="E208" s="4"/>
      <c r="F208" s="4"/>
      <c r="G208" s="4"/>
      <c r="H208" s="4"/>
      <c r="I208" s="6"/>
      <c r="J208" s="6"/>
      <c r="K208" s="6"/>
      <c r="L208" s="4"/>
      <c r="M208" s="4"/>
      <c r="N208" s="4"/>
    </row>
    <row r="209" spans="2:14">
      <c r="B209" s="16"/>
      <c r="C209" s="4"/>
      <c r="D209" s="4"/>
      <c r="E209" s="4"/>
      <c r="F209" s="4"/>
      <c r="G209" s="4"/>
      <c r="H209" s="4"/>
      <c r="I209" s="6"/>
      <c r="J209" s="6"/>
      <c r="K209" s="6"/>
      <c r="L209" s="4"/>
      <c r="M209" s="4"/>
      <c r="N209" s="4"/>
    </row>
    <row r="210" ht="29" customHeight="1" spans="2:14">
      <c r="B210" s="16"/>
      <c r="C210" s="4"/>
      <c r="D210" s="4"/>
      <c r="E210" s="4"/>
      <c r="F210" s="4"/>
      <c r="G210" s="4"/>
      <c r="H210" s="4"/>
      <c r="I210" s="6"/>
      <c r="J210" s="6"/>
      <c r="K210" s="6"/>
      <c r="L210" s="4"/>
      <c r="M210" s="4"/>
      <c r="N210" s="4"/>
    </row>
    <row r="211" spans="2:14">
      <c r="B211" s="16"/>
      <c r="C211" s="4"/>
      <c r="D211" s="4"/>
      <c r="E211" s="4"/>
      <c r="F211" s="4"/>
      <c r="G211" s="4"/>
      <c r="H211" s="4"/>
      <c r="I211" s="6"/>
      <c r="J211" s="6"/>
      <c r="K211" s="6"/>
      <c r="L211" s="4"/>
      <c r="M211" s="4"/>
      <c r="N211" s="4"/>
    </row>
    <row r="212" spans="2:14">
      <c r="B212" s="16"/>
      <c r="C212" s="4"/>
      <c r="D212" s="4"/>
      <c r="E212" s="4"/>
      <c r="F212" s="4"/>
      <c r="G212" s="4"/>
      <c r="H212" s="4"/>
      <c r="I212" s="6"/>
      <c r="J212" s="6"/>
      <c r="K212" s="6"/>
      <c r="L212" s="4"/>
      <c r="M212" s="4"/>
      <c r="N212" s="4"/>
    </row>
    <row r="213" spans="2:14">
      <c r="B213" s="16"/>
      <c r="C213" s="4"/>
      <c r="D213" s="4"/>
      <c r="E213" s="4"/>
      <c r="F213" s="4"/>
      <c r="G213" s="4"/>
      <c r="H213" s="4"/>
      <c r="I213" s="6"/>
      <c r="J213" s="6"/>
      <c r="K213" s="6"/>
      <c r="L213" s="4"/>
      <c r="M213" s="4"/>
      <c r="N213" s="4"/>
    </row>
    <row r="214" spans="2:14">
      <c r="B214" s="16"/>
      <c r="C214" s="4"/>
      <c r="D214" s="4"/>
      <c r="E214" s="4"/>
      <c r="F214" s="4"/>
      <c r="G214" s="4"/>
      <c r="H214" s="4"/>
      <c r="I214" s="6"/>
      <c r="J214" s="6"/>
      <c r="K214" s="6"/>
      <c r="L214" s="4"/>
      <c r="M214" s="4"/>
      <c r="N214" s="4"/>
    </row>
    <row r="215" spans="2:14">
      <c r="B215" s="16"/>
      <c r="C215" s="4"/>
      <c r="D215" s="4"/>
      <c r="E215" s="4"/>
      <c r="F215" s="4"/>
      <c r="G215" s="4"/>
      <c r="H215" s="4"/>
      <c r="I215" s="6"/>
      <c r="J215" s="6"/>
      <c r="K215" s="6"/>
      <c r="L215" s="4"/>
      <c r="M215" s="4"/>
      <c r="N215" s="4"/>
    </row>
    <row r="216" spans="2:14">
      <c r="B216" s="16"/>
      <c r="C216" s="4"/>
      <c r="D216" s="4"/>
      <c r="E216" s="4"/>
      <c r="F216" s="4"/>
      <c r="G216" s="4"/>
      <c r="H216" s="4"/>
      <c r="I216" s="6"/>
      <c r="J216" s="6"/>
      <c r="K216" s="6"/>
      <c r="L216" s="4"/>
      <c r="M216" s="4"/>
      <c r="N216" s="4"/>
    </row>
    <row r="217" spans="2:14">
      <c r="B217" s="16"/>
      <c r="C217" s="4"/>
      <c r="D217" s="4"/>
      <c r="E217" s="4"/>
      <c r="F217" s="4"/>
      <c r="G217" s="4"/>
      <c r="H217" s="4"/>
      <c r="I217" s="6"/>
      <c r="J217" s="6"/>
      <c r="K217" s="6"/>
      <c r="L217" s="4"/>
      <c r="M217" s="4"/>
      <c r="N217" s="4"/>
    </row>
    <row r="218" spans="2:14">
      <c r="B218" s="16"/>
      <c r="C218" s="4"/>
      <c r="D218" s="4"/>
      <c r="E218" s="4"/>
      <c r="F218" s="4"/>
      <c r="G218" s="4"/>
      <c r="H218" s="4"/>
      <c r="I218" s="6"/>
      <c r="J218" s="6"/>
      <c r="K218" s="6"/>
      <c r="L218" s="4"/>
      <c r="M218" s="4"/>
      <c r="N218" s="4"/>
    </row>
    <row r="219" spans="2:14">
      <c r="B219" s="16"/>
      <c r="C219" s="4"/>
      <c r="D219" s="4"/>
      <c r="E219" s="4"/>
      <c r="F219" s="4"/>
      <c r="G219" s="4"/>
      <c r="H219" s="4"/>
      <c r="I219" s="6"/>
      <c r="J219" s="6"/>
      <c r="K219" s="6"/>
      <c r="L219" s="4"/>
      <c r="M219" s="4"/>
      <c r="N219" s="4"/>
    </row>
    <row r="220" ht="29" customHeight="1" spans="2:14">
      <c r="B220" s="16"/>
      <c r="C220" s="4"/>
      <c r="D220" s="4"/>
      <c r="E220" s="4"/>
      <c r="F220" s="4"/>
      <c r="G220" s="4"/>
      <c r="H220" s="4"/>
      <c r="I220" s="6"/>
      <c r="J220" s="6"/>
      <c r="K220" s="6"/>
      <c r="L220" s="4"/>
      <c r="M220" s="4"/>
      <c r="N220" s="4"/>
    </row>
    <row r="221" ht="29" customHeight="1" spans="2:14">
      <c r="B221" s="16"/>
      <c r="C221" s="4"/>
      <c r="D221" s="4"/>
      <c r="E221" s="4"/>
      <c r="F221" s="4"/>
      <c r="G221" s="4"/>
      <c r="H221" s="4"/>
      <c r="I221" s="6"/>
      <c r="J221" s="6"/>
      <c r="K221" s="6"/>
      <c r="L221" s="4"/>
      <c r="M221" s="4"/>
      <c r="N221" s="4"/>
    </row>
    <row r="222" spans="2:14">
      <c r="B222" s="16"/>
      <c r="C222" s="4"/>
      <c r="D222" s="4"/>
      <c r="E222" s="4"/>
      <c r="F222" s="4"/>
      <c r="G222" s="4"/>
      <c r="H222" s="4"/>
      <c r="I222" s="6"/>
      <c r="J222" s="6"/>
      <c r="K222" s="6"/>
      <c r="L222" s="4"/>
      <c r="M222" s="4"/>
      <c r="N222" s="4"/>
    </row>
    <row r="223" spans="2:14">
      <c r="B223" s="16"/>
      <c r="C223" s="4"/>
      <c r="D223" s="4"/>
      <c r="E223" s="4"/>
      <c r="F223" s="4"/>
      <c r="G223" s="4"/>
      <c r="H223" s="4"/>
      <c r="I223" s="6"/>
      <c r="J223" s="6"/>
      <c r="K223" s="6"/>
      <c r="L223" s="4"/>
      <c r="M223" s="4"/>
      <c r="N223" s="4"/>
    </row>
    <row r="224" spans="2:14">
      <c r="B224" s="16"/>
      <c r="C224" s="4"/>
      <c r="D224" s="4"/>
      <c r="E224" s="4"/>
      <c r="F224" s="4"/>
      <c r="G224" s="4"/>
      <c r="H224" s="4"/>
      <c r="I224" s="6"/>
      <c r="J224" s="6"/>
      <c r="K224" s="6"/>
      <c r="L224" s="4"/>
      <c r="M224" s="4"/>
      <c r="N224" s="4"/>
    </row>
    <row r="225" spans="2:14">
      <c r="B225" s="16"/>
      <c r="C225" s="4"/>
      <c r="D225" s="4"/>
      <c r="E225" s="4"/>
      <c r="F225" s="4"/>
      <c r="G225" s="4"/>
      <c r="H225" s="4"/>
      <c r="I225" s="6"/>
      <c r="J225" s="6"/>
      <c r="K225" s="6"/>
      <c r="L225" s="4"/>
      <c r="M225" s="4"/>
      <c r="N225" s="4"/>
    </row>
    <row r="226" spans="2:14">
      <c r="B226" s="16"/>
      <c r="C226" s="4"/>
      <c r="D226" s="4"/>
      <c r="E226" s="4"/>
      <c r="F226" s="4"/>
      <c r="G226" s="4"/>
      <c r="H226" s="4"/>
      <c r="I226" s="6"/>
      <c r="J226" s="6"/>
      <c r="K226" s="6"/>
      <c r="L226" s="4"/>
      <c r="M226" s="4"/>
      <c r="N226" s="4"/>
    </row>
    <row r="227" spans="2:14">
      <c r="B227" s="16"/>
      <c r="C227" s="4"/>
      <c r="D227" s="4"/>
      <c r="E227" s="4"/>
      <c r="F227" s="4"/>
      <c r="G227" s="4"/>
      <c r="H227" s="4"/>
      <c r="I227" s="6"/>
      <c r="J227" s="6"/>
      <c r="K227" s="6"/>
      <c r="L227" s="4"/>
      <c r="M227" s="4"/>
      <c r="N227" s="4"/>
    </row>
    <row r="228" spans="2:14">
      <c r="B228" s="16"/>
      <c r="C228" s="4"/>
      <c r="D228" s="4"/>
      <c r="E228" s="4"/>
      <c r="F228" s="4"/>
      <c r="G228" s="4"/>
      <c r="H228" s="4"/>
      <c r="I228" s="6"/>
      <c r="J228" s="6"/>
      <c r="K228" s="6"/>
      <c r="L228" s="4"/>
      <c r="M228" s="4"/>
      <c r="N228" s="4"/>
    </row>
    <row r="229" spans="2:14">
      <c r="B229" s="16"/>
      <c r="C229" s="4"/>
      <c r="D229" s="4"/>
      <c r="E229" s="4"/>
      <c r="F229" s="4"/>
      <c r="G229" s="4"/>
      <c r="H229" s="4"/>
      <c r="I229" s="6"/>
      <c r="J229" s="6"/>
      <c r="K229" s="6"/>
      <c r="L229" s="4"/>
      <c r="M229" s="4"/>
      <c r="N229" s="4"/>
    </row>
    <row r="230" spans="2:14">
      <c r="B230" s="16"/>
      <c r="C230" s="4"/>
      <c r="D230" s="4"/>
      <c r="E230" s="4"/>
      <c r="F230" s="4"/>
      <c r="G230" s="4"/>
      <c r="H230" s="4"/>
      <c r="I230" s="6"/>
      <c r="J230" s="6"/>
      <c r="K230" s="6"/>
      <c r="L230" s="4"/>
      <c r="M230" s="4"/>
      <c r="N230" s="4"/>
    </row>
    <row r="231" ht="29" customHeight="1" spans="2:14">
      <c r="B231" s="16"/>
      <c r="C231" s="4"/>
      <c r="D231" s="4"/>
      <c r="E231" s="4"/>
      <c r="F231" s="4"/>
      <c r="G231" s="4"/>
      <c r="H231" s="4"/>
      <c r="I231" s="6"/>
      <c r="J231" s="6"/>
      <c r="K231" s="6"/>
      <c r="L231" s="4"/>
      <c r="M231" s="4"/>
      <c r="N231" s="4"/>
    </row>
    <row r="232" ht="29" customHeight="1" spans="2:14">
      <c r="B232" s="16"/>
      <c r="C232" s="4"/>
      <c r="D232" s="4"/>
      <c r="E232" s="4"/>
      <c r="F232" s="4"/>
      <c r="G232" s="4"/>
      <c r="H232" s="4"/>
      <c r="I232" s="6"/>
      <c r="J232" s="6"/>
      <c r="K232" s="6"/>
      <c r="L232" s="4"/>
      <c r="M232" s="4"/>
      <c r="N232" s="4"/>
    </row>
    <row r="233" spans="2:14">
      <c r="B233" s="16"/>
      <c r="C233" s="4"/>
      <c r="D233" s="4"/>
      <c r="E233" s="4"/>
      <c r="F233" s="4"/>
      <c r="G233" s="4"/>
      <c r="H233" s="4"/>
      <c r="I233" s="6"/>
      <c r="J233" s="6"/>
      <c r="K233" s="6"/>
      <c r="L233" s="4"/>
      <c r="M233" s="4"/>
      <c r="N233" s="4"/>
    </row>
    <row r="234" spans="2:14">
      <c r="B234" s="16"/>
      <c r="C234" s="4"/>
      <c r="D234" s="4"/>
      <c r="E234" s="4"/>
      <c r="F234" s="4"/>
      <c r="G234" s="4"/>
      <c r="H234" s="4"/>
      <c r="I234" s="6"/>
      <c r="J234" s="6"/>
      <c r="K234" s="6"/>
      <c r="L234" s="4"/>
      <c r="M234" s="4"/>
      <c r="N234" s="4"/>
    </row>
    <row r="235" spans="2:14">
      <c r="B235" s="16"/>
      <c r="C235" s="4"/>
      <c r="D235" s="4"/>
      <c r="E235" s="4"/>
      <c r="F235" s="4"/>
      <c r="G235" s="4"/>
      <c r="H235" s="4"/>
      <c r="I235" s="6"/>
      <c r="J235" s="6"/>
      <c r="K235" s="6"/>
      <c r="L235" s="4"/>
      <c r="M235" s="4"/>
      <c r="N235" s="4"/>
    </row>
    <row r="236" spans="2:14">
      <c r="B236" s="16"/>
      <c r="C236" s="4"/>
      <c r="D236" s="4"/>
      <c r="E236" s="4"/>
      <c r="F236" s="4"/>
      <c r="G236" s="4"/>
      <c r="H236" s="4"/>
      <c r="I236" s="6"/>
      <c r="J236" s="6"/>
      <c r="K236" s="6"/>
      <c r="L236" s="4"/>
      <c r="M236" s="4"/>
      <c r="N236" s="4"/>
    </row>
    <row r="237" ht="29" customHeight="1" spans="2:14">
      <c r="B237" s="16"/>
      <c r="C237" s="4"/>
      <c r="D237" s="4"/>
      <c r="E237" s="4"/>
      <c r="F237" s="4"/>
      <c r="G237" s="4"/>
      <c r="H237" s="4"/>
      <c r="I237" s="6"/>
      <c r="J237" s="6"/>
      <c r="K237" s="6"/>
      <c r="L237" s="4"/>
      <c r="M237" s="4"/>
      <c r="N237" s="4"/>
    </row>
    <row r="238" ht="29" customHeight="1" spans="2:14">
      <c r="B238" s="16"/>
      <c r="C238" s="4"/>
      <c r="D238" s="4"/>
      <c r="E238" s="4"/>
      <c r="F238" s="4"/>
      <c r="G238" s="4"/>
      <c r="H238" s="4"/>
      <c r="I238" s="6"/>
      <c r="J238" s="6"/>
      <c r="K238" s="6"/>
      <c r="L238" s="4"/>
      <c r="M238" s="4"/>
      <c r="N238" s="4"/>
    </row>
    <row r="239" spans="2:14">
      <c r="B239" s="16"/>
      <c r="C239" s="4"/>
      <c r="D239" s="4"/>
      <c r="E239" s="4"/>
      <c r="F239" s="4"/>
      <c r="G239" s="4"/>
      <c r="H239" s="4"/>
      <c r="I239" s="6"/>
      <c r="J239" s="6"/>
      <c r="K239" s="6"/>
      <c r="L239" s="4"/>
      <c r="M239" s="4"/>
      <c r="N239" s="4"/>
    </row>
    <row r="240" spans="2:14">
      <c r="B240" s="16"/>
      <c r="C240" s="4"/>
      <c r="D240" s="4"/>
      <c r="E240" s="4"/>
      <c r="F240" s="4"/>
      <c r="G240" s="4"/>
      <c r="H240" s="4"/>
      <c r="I240" s="6"/>
      <c r="J240" s="6"/>
      <c r="K240" s="6"/>
      <c r="L240" s="4"/>
      <c r="M240" s="4"/>
      <c r="N240" s="4"/>
    </row>
    <row r="241" spans="2:14">
      <c r="B241" s="16"/>
      <c r="C241" s="4"/>
      <c r="D241" s="4"/>
      <c r="E241" s="4"/>
      <c r="F241" s="4"/>
      <c r="G241" s="4"/>
      <c r="H241" s="4"/>
      <c r="I241" s="6"/>
      <c r="J241" s="6"/>
      <c r="K241" s="6"/>
      <c r="L241" s="4"/>
      <c r="M241" s="4"/>
      <c r="N241" s="4"/>
    </row>
    <row r="242" ht="29" customHeight="1" spans="2:14">
      <c r="B242" s="16"/>
      <c r="C242" s="4"/>
      <c r="D242" s="4"/>
      <c r="E242" s="4"/>
      <c r="F242" s="4"/>
      <c r="G242" s="4"/>
      <c r="H242" s="4"/>
      <c r="I242" s="6"/>
      <c r="J242" s="6"/>
      <c r="K242" s="6"/>
      <c r="L242" s="4"/>
      <c r="M242" s="4"/>
      <c r="N242" s="4"/>
    </row>
    <row r="243" ht="29" customHeight="1" spans="2:14">
      <c r="B243" s="16"/>
      <c r="C243" s="4"/>
      <c r="D243" s="4"/>
      <c r="E243" s="4"/>
      <c r="F243" s="4"/>
      <c r="G243" s="4"/>
      <c r="H243" s="4"/>
      <c r="I243" s="6"/>
      <c r="J243" s="6"/>
      <c r="K243" s="6"/>
      <c r="L243" s="4"/>
      <c r="M243" s="4"/>
      <c r="N243" s="4"/>
    </row>
    <row r="244" spans="2:14">
      <c r="B244" s="16"/>
      <c r="C244" s="4"/>
      <c r="D244" s="4"/>
      <c r="E244" s="4"/>
      <c r="F244" s="4"/>
      <c r="G244" s="4"/>
      <c r="H244" s="4"/>
      <c r="I244" s="6"/>
      <c r="J244" s="6"/>
      <c r="K244" s="6"/>
      <c r="L244" s="4"/>
      <c r="M244" s="4"/>
      <c r="N244" s="4"/>
    </row>
    <row r="245" ht="29" customHeight="1" spans="2:14">
      <c r="B245" s="16"/>
      <c r="C245" s="4"/>
      <c r="D245" s="4"/>
      <c r="E245" s="4"/>
      <c r="F245" s="4"/>
      <c r="G245" s="4"/>
      <c r="H245" s="4"/>
      <c r="I245" s="6"/>
      <c r="J245" s="6"/>
      <c r="K245" s="6"/>
      <c r="L245" s="4"/>
      <c r="M245" s="4"/>
      <c r="N245" s="4"/>
    </row>
    <row r="246" spans="2:14">
      <c r="B246" s="16"/>
      <c r="C246" s="4"/>
      <c r="D246" s="4"/>
      <c r="E246" s="4"/>
      <c r="F246" s="4"/>
      <c r="G246" s="4"/>
      <c r="H246" s="4"/>
      <c r="I246" s="6"/>
      <c r="J246" s="6"/>
      <c r="K246" s="6"/>
      <c r="L246" s="4"/>
      <c r="M246" s="4"/>
      <c r="N246" s="4"/>
    </row>
    <row r="247" ht="29" customHeight="1" spans="2:14">
      <c r="B247" s="16"/>
      <c r="C247" s="4"/>
      <c r="D247" s="4"/>
      <c r="E247" s="4"/>
      <c r="F247" s="4"/>
      <c r="G247" s="4"/>
      <c r="H247" s="4"/>
      <c r="I247" s="6"/>
      <c r="J247" s="6"/>
      <c r="K247" s="6"/>
      <c r="L247" s="4"/>
      <c r="M247" s="4"/>
      <c r="N247" s="4"/>
    </row>
    <row r="248" ht="29" customHeight="1" spans="2:14">
      <c r="B248" s="16"/>
      <c r="C248" s="4"/>
      <c r="D248" s="4"/>
      <c r="E248" s="4"/>
      <c r="F248" s="4"/>
      <c r="G248" s="4"/>
      <c r="H248" s="4"/>
      <c r="I248" s="6"/>
      <c r="J248" s="6"/>
      <c r="K248" s="6"/>
      <c r="L248" s="4"/>
      <c r="M248" s="4"/>
      <c r="N248" s="4"/>
    </row>
    <row r="249" ht="29" customHeight="1" spans="2:14">
      <c r="B249" s="16"/>
      <c r="C249" s="4"/>
      <c r="D249" s="4"/>
      <c r="E249" s="4"/>
      <c r="F249" s="4"/>
      <c r="G249" s="4"/>
      <c r="H249" s="4"/>
      <c r="I249" s="6"/>
      <c r="J249" s="6"/>
      <c r="K249" s="6"/>
      <c r="L249" s="4"/>
      <c r="M249" s="4"/>
      <c r="N249" s="4"/>
    </row>
    <row r="250" spans="2:14">
      <c r="B250" s="16"/>
      <c r="C250" s="4"/>
      <c r="D250" s="4"/>
      <c r="E250" s="4"/>
      <c r="F250" s="4"/>
      <c r="G250" s="4"/>
      <c r="H250" s="4"/>
      <c r="I250" s="6"/>
      <c r="J250" s="6"/>
      <c r="K250" s="6"/>
      <c r="L250" s="4"/>
      <c r="M250" s="4"/>
      <c r="N250" s="4"/>
    </row>
    <row r="251" spans="2:14">
      <c r="B251" s="16"/>
      <c r="C251" s="4"/>
      <c r="D251" s="4"/>
      <c r="E251" s="4"/>
      <c r="F251" s="4"/>
      <c r="G251" s="4"/>
      <c r="H251" s="4"/>
      <c r="I251" s="6"/>
      <c r="J251" s="6"/>
      <c r="K251" s="6"/>
      <c r="L251" s="4"/>
      <c r="M251" s="4"/>
      <c r="N251" s="4"/>
    </row>
    <row r="252" spans="2:14">
      <c r="B252" s="16"/>
      <c r="C252" s="4"/>
      <c r="D252" s="4"/>
      <c r="E252" s="4"/>
      <c r="F252" s="4"/>
      <c r="G252" s="4"/>
      <c r="H252" s="4"/>
      <c r="I252" s="6"/>
      <c r="J252" s="6"/>
      <c r="K252" s="6"/>
      <c r="L252" s="4"/>
      <c r="M252" s="4"/>
      <c r="N252" s="4"/>
    </row>
    <row r="253" spans="2:14">
      <c r="B253" s="16"/>
      <c r="C253" s="4"/>
      <c r="D253" s="4"/>
      <c r="E253" s="4"/>
      <c r="F253" s="4"/>
      <c r="G253" s="4"/>
      <c r="H253" s="4"/>
      <c r="I253" s="6"/>
      <c r="J253" s="6"/>
      <c r="K253" s="6"/>
      <c r="L253" s="4"/>
      <c r="M253" s="4"/>
      <c r="N253" s="4"/>
    </row>
    <row r="254" spans="2:14">
      <c r="B254" s="16"/>
      <c r="C254" s="4"/>
      <c r="D254" s="4"/>
      <c r="E254" s="4"/>
      <c r="F254" s="4"/>
      <c r="G254" s="4"/>
      <c r="H254" s="4"/>
      <c r="I254" s="6"/>
      <c r="J254" s="6"/>
      <c r="K254" s="6"/>
      <c r="L254" s="4"/>
      <c r="M254" s="4"/>
      <c r="N254" s="4"/>
    </row>
    <row r="255" spans="2:14">
      <c r="B255" s="16"/>
      <c r="C255" s="4"/>
      <c r="D255" s="4"/>
      <c r="E255" s="4"/>
      <c r="F255" s="4"/>
      <c r="G255" s="4"/>
      <c r="H255" s="4"/>
      <c r="I255" s="6"/>
      <c r="J255" s="6"/>
      <c r="K255" s="6"/>
      <c r="L255" s="4"/>
      <c r="M255" s="4"/>
      <c r="N255" s="4"/>
    </row>
    <row r="256" ht="29" customHeight="1" spans="2:14">
      <c r="B256" s="16"/>
      <c r="C256" s="4"/>
      <c r="D256" s="4"/>
      <c r="E256" s="4"/>
      <c r="F256" s="4"/>
      <c r="G256" s="4"/>
      <c r="H256" s="4"/>
      <c r="I256" s="6"/>
      <c r="J256" s="6"/>
      <c r="K256" s="6"/>
      <c r="L256" s="4"/>
      <c r="M256" s="4"/>
      <c r="N256" s="4"/>
    </row>
    <row r="257" ht="29" customHeight="1" spans="2:14">
      <c r="B257" s="16"/>
      <c r="C257" s="4"/>
      <c r="D257" s="4"/>
      <c r="E257" s="4"/>
      <c r="F257" s="4"/>
      <c r="G257" s="4"/>
      <c r="H257" s="4"/>
      <c r="I257" s="6"/>
      <c r="J257" s="6"/>
      <c r="K257" s="6"/>
      <c r="L257" s="4"/>
      <c r="M257" s="4"/>
      <c r="N257" s="4"/>
    </row>
    <row r="258" ht="29" customHeight="1" spans="2:14">
      <c r="B258" s="16"/>
      <c r="C258" s="4"/>
      <c r="D258" s="4"/>
      <c r="E258" s="4"/>
      <c r="F258" s="4"/>
      <c r="G258" s="4"/>
      <c r="H258" s="4"/>
      <c r="I258" s="6"/>
      <c r="J258" s="6"/>
      <c r="K258" s="6"/>
      <c r="L258" s="4"/>
      <c r="M258" s="4"/>
      <c r="N258" s="4"/>
    </row>
    <row r="259" ht="29" customHeight="1" spans="2:14">
      <c r="B259" s="16"/>
      <c r="C259" s="4"/>
      <c r="D259" s="4"/>
      <c r="E259" s="4"/>
      <c r="F259" s="4"/>
      <c r="G259" s="4"/>
      <c r="H259" s="4"/>
      <c r="I259" s="6"/>
      <c r="J259" s="6"/>
      <c r="K259" s="6"/>
      <c r="L259" s="4"/>
      <c r="M259" s="4"/>
      <c r="N259" s="4"/>
    </row>
    <row r="260" ht="29" customHeight="1" spans="2:14">
      <c r="B260" s="16"/>
      <c r="C260" s="4"/>
      <c r="D260" s="4"/>
      <c r="E260" s="4"/>
      <c r="F260" s="4"/>
      <c r="G260" s="4"/>
      <c r="H260" s="4"/>
      <c r="I260" s="6"/>
      <c r="J260" s="6"/>
      <c r="K260" s="6"/>
      <c r="L260" s="4"/>
      <c r="M260" s="4"/>
      <c r="N260" s="4"/>
    </row>
    <row r="261" ht="29" customHeight="1" spans="2:14">
      <c r="B261" s="16"/>
      <c r="C261" s="4"/>
      <c r="D261" s="4"/>
      <c r="E261" s="4"/>
      <c r="F261" s="4"/>
      <c r="G261" s="4"/>
      <c r="H261" s="4"/>
      <c r="I261" s="6"/>
      <c r="J261" s="6"/>
      <c r="K261" s="6"/>
      <c r="L261" s="4"/>
      <c r="M261" s="4"/>
      <c r="N261" s="4"/>
    </row>
    <row r="262" ht="29" customHeight="1" spans="2:14">
      <c r="B262" s="16"/>
      <c r="C262" s="4"/>
      <c r="D262" s="4"/>
      <c r="E262" s="4"/>
      <c r="F262" s="4"/>
      <c r="G262" s="4"/>
      <c r="H262" s="4"/>
      <c r="I262" s="6"/>
      <c r="J262" s="6"/>
      <c r="K262" s="6"/>
      <c r="L262" s="4"/>
      <c r="M262" s="4"/>
      <c r="N262" s="4"/>
    </row>
    <row r="263" ht="29" customHeight="1" spans="2:14">
      <c r="B263" s="16"/>
      <c r="C263" s="4"/>
      <c r="D263" s="4"/>
      <c r="E263" s="4"/>
      <c r="F263" s="4"/>
      <c r="G263" s="4"/>
      <c r="H263" s="4"/>
      <c r="I263" s="6"/>
      <c r="J263" s="6"/>
      <c r="K263" s="6"/>
      <c r="L263" s="4"/>
      <c r="M263" s="4"/>
      <c r="N263" s="4"/>
    </row>
    <row r="264" ht="29" customHeight="1" spans="2:14">
      <c r="B264" s="16"/>
      <c r="C264" s="4"/>
      <c r="D264" s="4"/>
      <c r="E264" s="4"/>
      <c r="F264" s="4"/>
      <c r="G264" s="4"/>
      <c r="H264" s="4"/>
      <c r="I264" s="6"/>
      <c r="J264" s="6"/>
      <c r="K264" s="6"/>
      <c r="L264" s="4"/>
      <c r="M264" s="4"/>
      <c r="N264" s="4"/>
    </row>
    <row r="265" ht="29" customHeight="1" spans="2:14">
      <c r="B265" s="16"/>
      <c r="C265" s="4"/>
      <c r="D265" s="4"/>
      <c r="E265" s="4"/>
      <c r="F265" s="4"/>
      <c r="G265" s="4"/>
      <c r="H265" s="4"/>
      <c r="I265" s="6"/>
      <c r="J265" s="6"/>
      <c r="K265" s="6"/>
      <c r="L265" s="4"/>
      <c r="M265" s="4"/>
      <c r="N265" s="4"/>
    </row>
    <row r="266" ht="29" customHeight="1" spans="2:14">
      <c r="B266" s="16"/>
      <c r="C266" s="4"/>
      <c r="D266" s="4"/>
      <c r="E266" s="4"/>
      <c r="F266" s="4"/>
      <c r="G266" s="4"/>
      <c r="H266" s="4"/>
      <c r="I266" s="6"/>
      <c r="J266" s="6"/>
      <c r="K266" s="6"/>
      <c r="L266" s="4"/>
      <c r="M266" s="4"/>
      <c r="N266" s="4"/>
    </row>
    <row r="267" ht="29" customHeight="1" spans="2:14">
      <c r="B267" s="16"/>
      <c r="C267" s="4"/>
      <c r="D267" s="4"/>
      <c r="E267" s="4"/>
      <c r="F267" s="4"/>
      <c r="G267" s="4"/>
      <c r="H267" s="4"/>
      <c r="I267" s="6"/>
      <c r="J267" s="6"/>
      <c r="K267" s="6"/>
      <c r="L267" s="4"/>
      <c r="M267" s="4"/>
      <c r="N267" s="4"/>
    </row>
    <row r="268" ht="29" customHeight="1" spans="2:14">
      <c r="B268" s="16"/>
      <c r="C268" s="4"/>
      <c r="D268" s="4"/>
      <c r="E268" s="4"/>
      <c r="F268" s="4"/>
      <c r="G268" s="4"/>
      <c r="H268" s="4"/>
      <c r="I268" s="6"/>
      <c r="J268" s="6"/>
      <c r="K268" s="6"/>
      <c r="L268" s="4"/>
      <c r="M268" s="4"/>
      <c r="N268" s="4"/>
    </row>
    <row r="269" ht="29" customHeight="1" spans="2:14">
      <c r="B269" s="16"/>
      <c r="C269" s="4"/>
      <c r="D269" s="4"/>
      <c r="E269" s="4"/>
      <c r="F269" s="4"/>
      <c r="G269" s="4"/>
      <c r="H269" s="4"/>
      <c r="I269" s="6"/>
      <c r="J269" s="6"/>
      <c r="K269" s="6"/>
      <c r="L269" s="4"/>
      <c r="M269" s="4"/>
      <c r="N269" s="4"/>
    </row>
    <row r="270" ht="29" customHeight="1" spans="2:14">
      <c r="B270" s="16"/>
      <c r="C270" s="4"/>
      <c r="D270" s="4"/>
      <c r="E270" s="4"/>
      <c r="F270" s="4"/>
      <c r="G270" s="4"/>
      <c r="H270" s="4"/>
      <c r="I270" s="6"/>
      <c r="J270" s="6"/>
      <c r="K270" s="6"/>
      <c r="L270" s="4"/>
      <c r="M270" s="4"/>
      <c r="N270" s="4"/>
    </row>
    <row r="271" ht="29" customHeight="1" spans="2:14">
      <c r="B271" s="16"/>
      <c r="C271" s="4"/>
      <c r="D271" s="4"/>
      <c r="E271" s="4"/>
      <c r="F271" s="4"/>
      <c r="G271" s="4"/>
      <c r="H271" s="4"/>
      <c r="I271" s="6"/>
      <c r="J271" s="6"/>
      <c r="K271" s="6"/>
      <c r="L271" s="4"/>
      <c r="M271" s="4"/>
      <c r="N271" s="4"/>
    </row>
    <row r="272" ht="29" customHeight="1" spans="2:14">
      <c r="B272" s="16"/>
      <c r="C272" s="4"/>
      <c r="D272" s="4"/>
      <c r="E272" s="4"/>
      <c r="F272" s="4"/>
      <c r="G272" s="4"/>
      <c r="H272" s="4"/>
      <c r="I272" s="6"/>
      <c r="J272" s="6"/>
      <c r="K272" s="6"/>
      <c r="L272" s="4"/>
      <c r="M272" s="4"/>
      <c r="N272" s="4"/>
    </row>
    <row r="273" ht="29" customHeight="1" spans="2:14">
      <c r="B273" s="16"/>
      <c r="C273" s="4"/>
      <c r="D273" s="4"/>
      <c r="E273" s="4"/>
      <c r="F273" s="4"/>
      <c r="G273" s="4"/>
      <c r="H273" s="4"/>
      <c r="I273" s="6"/>
      <c r="J273" s="6"/>
      <c r="K273" s="6"/>
      <c r="L273" s="4"/>
      <c r="M273" s="4"/>
      <c r="N273" s="4"/>
    </row>
    <row r="274" ht="29" customHeight="1" spans="2:14">
      <c r="B274" s="16"/>
      <c r="C274" s="4"/>
      <c r="D274" s="4"/>
      <c r="E274" s="4"/>
      <c r="F274" s="4"/>
      <c r="G274" s="4"/>
      <c r="H274" s="4"/>
      <c r="I274" s="6"/>
      <c r="J274" s="6"/>
      <c r="K274" s="6"/>
      <c r="L274" s="4"/>
      <c r="M274" s="4"/>
      <c r="N274" s="4"/>
    </row>
    <row r="275" spans="2:14">
      <c r="B275" s="16"/>
      <c r="C275" s="4"/>
      <c r="D275" s="4"/>
      <c r="E275" s="4"/>
      <c r="F275" s="4"/>
      <c r="G275" s="4"/>
      <c r="H275" s="4"/>
      <c r="I275" s="6"/>
      <c r="J275" s="6"/>
      <c r="K275" s="6"/>
      <c r="L275" s="4"/>
      <c r="M275" s="4"/>
      <c r="N275" s="4"/>
    </row>
    <row r="276" spans="2:14">
      <c r="B276" s="16"/>
      <c r="C276" s="4"/>
      <c r="D276" s="4"/>
      <c r="E276" s="4"/>
      <c r="F276" s="4"/>
      <c r="G276" s="4"/>
      <c r="H276" s="4"/>
      <c r="I276" s="6"/>
      <c r="J276" s="6"/>
      <c r="K276" s="6"/>
      <c r="L276" s="4"/>
      <c r="M276" s="4"/>
      <c r="N276" s="4"/>
    </row>
    <row r="277" spans="2:14">
      <c r="B277" s="16"/>
      <c r="C277" s="4"/>
      <c r="D277" s="4"/>
      <c r="E277" s="4"/>
      <c r="F277" s="4"/>
      <c r="G277" s="4"/>
      <c r="H277" s="4"/>
      <c r="I277" s="6"/>
      <c r="J277" s="6"/>
      <c r="K277" s="6"/>
      <c r="L277" s="4"/>
      <c r="M277" s="4"/>
      <c r="N277" s="4"/>
    </row>
    <row r="278" spans="2:14">
      <c r="B278" s="16"/>
      <c r="C278" s="4"/>
      <c r="D278" s="4"/>
      <c r="E278" s="4"/>
      <c r="F278" s="4"/>
      <c r="G278" s="4"/>
      <c r="H278" s="4"/>
      <c r="I278" s="6"/>
      <c r="J278" s="6"/>
      <c r="K278" s="6"/>
      <c r="L278" s="4"/>
      <c r="M278" s="4"/>
      <c r="N278" s="4"/>
    </row>
    <row r="279" spans="2:14">
      <c r="B279" s="16"/>
      <c r="C279" s="4"/>
      <c r="D279" s="4"/>
      <c r="E279" s="4"/>
      <c r="F279" s="4"/>
      <c r="G279" s="4"/>
      <c r="H279" s="4"/>
      <c r="I279" s="6"/>
      <c r="J279" s="6"/>
      <c r="K279" s="6"/>
      <c r="L279" s="4"/>
      <c r="M279" s="4"/>
      <c r="N279" s="4"/>
    </row>
    <row r="280" spans="2:14">
      <c r="B280" s="16"/>
      <c r="C280" s="4"/>
      <c r="D280" s="4"/>
      <c r="E280" s="4"/>
      <c r="F280" s="4"/>
      <c r="G280" s="4"/>
      <c r="H280" s="4"/>
      <c r="I280" s="6"/>
      <c r="J280" s="6"/>
      <c r="K280" s="6"/>
      <c r="L280" s="4"/>
      <c r="M280" s="4"/>
      <c r="N280" s="4"/>
    </row>
    <row r="281" spans="2:14">
      <c r="B281" s="16"/>
      <c r="C281" s="4"/>
      <c r="D281" s="4"/>
      <c r="E281" s="4"/>
      <c r="F281" s="4"/>
      <c r="G281" s="4"/>
      <c r="H281" s="4"/>
      <c r="I281" s="6"/>
      <c r="J281" s="6"/>
      <c r="K281" s="6"/>
      <c r="L281" s="4"/>
      <c r="M281" s="4"/>
      <c r="N281" s="4"/>
    </row>
    <row r="282" spans="2:14">
      <c r="B282" s="16"/>
      <c r="C282" s="4"/>
      <c r="D282" s="4"/>
      <c r="E282" s="4"/>
      <c r="F282" s="4"/>
      <c r="G282" s="4"/>
      <c r="H282" s="4"/>
      <c r="I282" s="6"/>
      <c r="J282" s="6"/>
      <c r="K282" s="6"/>
      <c r="L282" s="4"/>
      <c r="M282" s="4"/>
      <c r="N282" s="4"/>
    </row>
    <row r="283" spans="2:14">
      <c r="B283" s="16"/>
      <c r="C283" s="4"/>
      <c r="D283" s="4"/>
      <c r="E283" s="4"/>
      <c r="F283" s="4"/>
      <c r="G283" s="4"/>
      <c r="H283" s="4"/>
      <c r="I283" s="6"/>
      <c r="J283" s="6"/>
      <c r="K283" s="6"/>
      <c r="L283" s="4"/>
      <c r="M283" s="4"/>
      <c r="N283" s="4"/>
    </row>
    <row r="284" spans="2:14">
      <c r="B284" s="16"/>
      <c r="C284" s="4"/>
      <c r="D284" s="4"/>
      <c r="E284" s="4"/>
      <c r="F284" s="4"/>
      <c r="G284" s="4"/>
      <c r="H284" s="4"/>
      <c r="I284" s="6"/>
      <c r="J284" s="6"/>
      <c r="K284" s="6"/>
      <c r="L284" s="4"/>
      <c r="M284" s="4"/>
      <c r="N284" s="4"/>
    </row>
    <row r="285" spans="2:14">
      <c r="B285" s="16"/>
      <c r="C285" s="4"/>
      <c r="D285" s="4"/>
      <c r="E285" s="4"/>
      <c r="F285" s="4"/>
      <c r="G285" s="4"/>
      <c r="H285" s="4"/>
      <c r="I285" s="6"/>
      <c r="J285" s="6"/>
      <c r="K285" s="6"/>
      <c r="L285" s="4"/>
      <c r="M285" s="4"/>
      <c r="N285" s="4"/>
    </row>
    <row r="286" spans="2:14">
      <c r="B286" s="16"/>
      <c r="C286" s="4"/>
      <c r="D286" s="4"/>
      <c r="E286" s="4"/>
      <c r="F286" s="4"/>
      <c r="G286" s="4"/>
      <c r="H286" s="4"/>
      <c r="I286" s="6"/>
      <c r="J286" s="6"/>
      <c r="K286" s="6"/>
      <c r="L286" s="4"/>
      <c r="M286" s="4"/>
      <c r="N286" s="4"/>
    </row>
    <row r="287" ht="29" customHeight="1" spans="2:14">
      <c r="B287" s="16"/>
      <c r="C287" s="4"/>
      <c r="D287" s="4"/>
      <c r="E287" s="4"/>
      <c r="F287" s="4"/>
      <c r="G287" s="4"/>
      <c r="H287" s="4"/>
      <c r="I287" s="6"/>
      <c r="J287" s="6"/>
      <c r="K287" s="6"/>
      <c r="L287" s="4"/>
      <c r="M287" s="4"/>
      <c r="N287" s="4"/>
    </row>
    <row r="288" ht="29" customHeight="1" spans="2:14">
      <c r="B288" s="16"/>
      <c r="C288" s="4"/>
      <c r="D288" s="4"/>
      <c r="E288" s="4"/>
      <c r="F288" s="4"/>
      <c r="G288" s="4"/>
      <c r="H288" s="4"/>
      <c r="I288" s="6"/>
      <c r="J288" s="6"/>
      <c r="K288" s="6"/>
      <c r="L288" s="4"/>
      <c r="M288" s="4"/>
      <c r="N288" s="4"/>
    </row>
    <row r="289" ht="29" customHeight="1" spans="2:14">
      <c r="B289" s="16"/>
      <c r="C289" s="4"/>
      <c r="D289" s="4"/>
      <c r="E289" s="4"/>
      <c r="F289" s="4"/>
      <c r="G289" s="4"/>
      <c r="H289" s="4"/>
      <c r="I289" s="6"/>
      <c r="J289" s="6"/>
      <c r="K289" s="6"/>
      <c r="L289" s="4"/>
      <c r="M289" s="4"/>
      <c r="N289" s="4"/>
    </row>
    <row r="290" ht="29" customHeight="1" spans="2:14">
      <c r="B290" s="16"/>
      <c r="C290" s="4"/>
      <c r="D290" s="4"/>
      <c r="E290" s="4"/>
      <c r="F290" s="4"/>
      <c r="G290" s="4"/>
      <c r="H290" s="4"/>
      <c r="I290" s="6"/>
      <c r="J290" s="6"/>
      <c r="K290" s="6"/>
      <c r="L290" s="4"/>
      <c r="M290" s="4"/>
      <c r="N290" s="4"/>
    </row>
    <row r="291" ht="29" customHeight="1" spans="2:14">
      <c r="B291" s="16"/>
      <c r="C291" s="4"/>
      <c r="D291" s="4"/>
      <c r="E291" s="4"/>
      <c r="F291" s="4"/>
      <c r="G291" s="4"/>
      <c r="H291" s="4"/>
      <c r="I291" s="6"/>
      <c r="J291" s="6"/>
      <c r="K291" s="6"/>
      <c r="L291" s="4"/>
      <c r="M291" s="4"/>
      <c r="N291" s="4"/>
    </row>
    <row r="292" ht="29" customHeight="1" spans="2:14">
      <c r="B292" s="16"/>
      <c r="C292" s="4"/>
      <c r="D292" s="4"/>
      <c r="E292" s="4"/>
      <c r="F292" s="4"/>
      <c r="G292" s="4"/>
      <c r="H292" s="4"/>
      <c r="I292" s="6"/>
      <c r="J292" s="6"/>
      <c r="K292" s="6"/>
      <c r="L292" s="4"/>
      <c r="M292" s="4"/>
      <c r="N292" s="4"/>
    </row>
    <row r="293" ht="29" customHeight="1" spans="2:14">
      <c r="B293" s="16"/>
      <c r="C293" s="4"/>
      <c r="D293" s="4"/>
      <c r="E293" s="4"/>
      <c r="F293" s="4"/>
      <c r="G293" s="4"/>
      <c r="H293" s="4"/>
      <c r="I293" s="6"/>
      <c r="J293" s="6"/>
      <c r="K293" s="6"/>
      <c r="L293" s="4"/>
      <c r="M293" s="4"/>
      <c r="N293" s="4"/>
    </row>
    <row r="294" ht="29" customHeight="1" spans="2:14">
      <c r="B294" s="16"/>
      <c r="C294" s="4"/>
      <c r="D294" s="4"/>
      <c r="E294" s="4"/>
      <c r="F294" s="4"/>
      <c r="G294" s="4"/>
      <c r="H294" s="4"/>
      <c r="I294" s="6"/>
      <c r="J294" s="6"/>
      <c r="K294" s="6"/>
      <c r="L294" s="4"/>
      <c r="M294" s="4"/>
      <c r="N294" s="4"/>
    </row>
    <row r="295" spans="2:14">
      <c r="B295" s="16"/>
      <c r="C295" s="4"/>
      <c r="D295" s="4"/>
      <c r="E295" s="4"/>
      <c r="F295" s="4"/>
      <c r="G295" s="4"/>
      <c r="H295" s="4"/>
      <c r="I295" s="6"/>
      <c r="J295" s="6"/>
      <c r="K295" s="6"/>
      <c r="L295" s="4"/>
      <c r="M295" s="4"/>
      <c r="N295" s="4"/>
    </row>
    <row r="296" spans="2:14">
      <c r="B296" s="16"/>
      <c r="C296" s="4"/>
      <c r="D296" s="4"/>
      <c r="E296" s="4"/>
      <c r="F296" s="4"/>
      <c r="G296" s="4"/>
      <c r="H296" s="4"/>
      <c r="I296" s="6"/>
      <c r="J296" s="6"/>
      <c r="K296" s="6"/>
      <c r="L296" s="4"/>
      <c r="M296" s="4"/>
      <c r="N296" s="4"/>
    </row>
    <row r="297" spans="2:14">
      <c r="B297" s="16"/>
      <c r="C297" s="4"/>
      <c r="D297" s="4"/>
      <c r="E297" s="4"/>
      <c r="F297" s="4"/>
      <c r="G297" s="4"/>
      <c r="H297" s="4"/>
      <c r="I297" s="6"/>
      <c r="J297" s="6"/>
      <c r="K297" s="6"/>
      <c r="L297" s="4"/>
      <c r="M297" s="4"/>
      <c r="N297" s="4"/>
    </row>
    <row r="298" spans="2:14">
      <c r="B298" s="16"/>
      <c r="C298" s="4"/>
      <c r="D298" s="4"/>
      <c r="E298" s="4"/>
      <c r="F298" s="4"/>
      <c r="G298" s="4"/>
      <c r="H298" s="4"/>
      <c r="I298" s="6"/>
      <c r="J298" s="6"/>
      <c r="K298" s="6"/>
      <c r="L298" s="4"/>
      <c r="M298" s="4"/>
      <c r="N298" s="4"/>
    </row>
    <row r="299" spans="2:14">
      <c r="B299" s="16"/>
      <c r="C299" s="4"/>
      <c r="D299" s="4"/>
      <c r="E299" s="4"/>
      <c r="F299" s="4"/>
      <c r="G299" s="4"/>
      <c r="H299" s="4"/>
      <c r="I299" s="6"/>
      <c r="J299" s="6"/>
      <c r="K299" s="6"/>
      <c r="L299" s="4"/>
      <c r="M299" s="4"/>
      <c r="N299" s="4"/>
    </row>
    <row r="300" spans="2:14">
      <c r="B300" s="16"/>
      <c r="C300" s="4"/>
      <c r="D300" s="4"/>
      <c r="E300" s="4"/>
      <c r="F300" s="4"/>
      <c r="G300" s="4"/>
      <c r="H300" s="4"/>
      <c r="I300" s="6"/>
      <c r="J300" s="6"/>
      <c r="K300" s="6"/>
      <c r="L300" s="4"/>
      <c r="M300" s="4"/>
      <c r="N300" s="4"/>
    </row>
    <row r="301" spans="2:14">
      <c r="B301" s="16"/>
      <c r="C301" s="4"/>
      <c r="D301" s="4"/>
      <c r="E301" s="4"/>
      <c r="F301" s="4"/>
      <c r="G301" s="4"/>
      <c r="H301" s="4"/>
      <c r="I301" s="6"/>
      <c r="J301" s="6"/>
      <c r="K301" s="6"/>
      <c r="L301" s="4"/>
      <c r="M301" s="4"/>
      <c r="N301" s="4"/>
    </row>
    <row r="302" spans="2:14">
      <c r="B302" s="16"/>
      <c r="C302" s="4"/>
      <c r="D302" s="4"/>
      <c r="E302" s="4"/>
      <c r="F302" s="4"/>
      <c r="G302" s="4"/>
      <c r="H302" s="4"/>
      <c r="I302" s="6"/>
      <c r="J302" s="6"/>
      <c r="K302" s="6"/>
      <c r="L302" s="4"/>
      <c r="M302" s="4"/>
      <c r="N302" s="4"/>
    </row>
    <row r="303" ht="29" customHeight="1" spans="2:14">
      <c r="B303" s="16"/>
      <c r="C303" s="4"/>
      <c r="D303" s="4"/>
      <c r="E303" s="4"/>
      <c r="F303" s="4"/>
      <c r="G303" s="4"/>
      <c r="H303" s="4"/>
      <c r="I303" s="6"/>
      <c r="J303" s="6"/>
      <c r="K303" s="6"/>
      <c r="L303" s="4"/>
      <c r="M303" s="4"/>
      <c r="N303" s="4"/>
    </row>
    <row r="304" ht="29" customHeight="1" spans="2:14">
      <c r="B304" s="16"/>
      <c r="C304" s="4"/>
      <c r="D304" s="4"/>
      <c r="E304" s="4"/>
      <c r="F304" s="4"/>
      <c r="G304" s="4"/>
      <c r="H304" s="4"/>
      <c r="I304" s="6"/>
      <c r="J304" s="6"/>
      <c r="K304" s="6"/>
      <c r="L304" s="4"/>
      <c r="M304" s="4"/>
      <c r="N304" s="4"/>
    </row>
    <row r="305" ht="29" customHeight="1" spans="2:14">
      <c r="B305" s="16"/>
      <c r="C305" s="4"/>
      <c r="D305" s="4"/>
      <c r="E305" s="4"/>
      <c r="F305" s="4"/>
      <c r="G305" s="4"/>
      <c r="H305" s="4"/>
      <c r="I305" s="6"/>
      <c r="J305" s="6"/>
      <c r="K305" s="6"/>
      <c r="L305" s="4"/>
      <c r="M305" s="4"/>
      <c r="N305" s="4"/>
    </row>
    <row r="306" ht="29" customHeight="1" spans="2:14">
      <c r="B306" s="16"/>
      <c r="C306" s="4"/>
      <c r="D306" s="4"/>
      <c r="E306" s="4"/>
      <c r="F306" s="4"/>
      <c r="G306" s="4"/>
      <c r="H306" s="4"/>
      <c r="I306" s="6"/>
      <c r="J306" s="6"/>
      <c r="K306" s="6"/>
      <c r="L306" s="4"/>
      <c r="M306" s="4"/>
      <c r="N306" s="4"/>
    </row>
    <row r="307" ht="29" customHeight="1" spans="2:14">
      <c r="B307" s="16"/>
      <c r="C307" s="4"/>
      <c r="D307" s="4"/>
      <c r="E307" s="4"/>
      <c r="F307" s="4"/>
      <c r="G307" s="4"/>
      <c r="H307" s="4"/>
      <c r="I307" s="6"/>
      <c r="J307" s="6"/>
      <c r="K307" s="6"/>
      <c r="L307" s="4"/>
      <c r="M307" s="4"/>
      <c r="N307" s="4"/>
    </row>
    <row r="308" spans="2:14">
      <c r="B308" s="16"/>
      <c r="C308" s="4"/>
      <c r="D308" s="4"/>
      <c r="E308" s="4"/>
      <c r="F308" s="4"/>
      <c r="G308" s="4"/>
      <c r="H308" s="4"/>
      <c r="I308" s="6"/>
      <c r="J308" s="6"/>
      <c r="K308" s="6"/>
      <c r="L308" s="4"/>
      <c r="M308" s="4"/>
      <c r="N308" s="4"/>
    </row>
    <row r="309" ht="29" customHeight="1" spans="2:14">
      <c r="B309" s="16"/>
      <c r="C309" s="4"/>
      <c r="D309" s="4"/>
      <c r="E309" s="4"/>
      <c r="F309" s="4"/>
      <c r="G309" s="4"/>
      <c r="H309" s="4"/>
      <c r="I309" s="6"/>
      <c r="J309" s="6"/>
      <c r="K309" s="6"/>
      <c r="L309" s="4"/>
      <c r="M309" s="4"/>
      <c r="N309" s="4"/>
    </row>
    <row r="310" ht="29" customHeight="1" spans="2:14">
      <c r="B310" s="16"/>
      <c r="C310" s="4"/>
      <c r="D310" s="4"/>
      <c r="E310" s="4"/>
      <c r="F310" s="4"/>
      <c r="G310" s="4"/>
      <c r="H310" s="4"/>
      <c r="I310" s="6"/>
      <c r="J310" s="6"/>
      <c r="K310" s="6"/>
      <c r="L310" s="4"/>
      <c r="M310" s="4"/>
      <c r="N310" s="4"/>
    </row>
    <row r="311" ht="29" customHeight="1" spans="2:14">
      <c r="B311" s="16"/>
      <c r="C311" s="4"/>
      <c r="D311" s="4"/>
      <c r="E311" s="4"/>
      <c r="F311" s="4"/>
      <c r="G311" s="4"/>
      <c r="H311" s="4"/>
      <c r="I311" s="6"/>
      <c r="J311" s="6"/>
      <c r="K311" s="6"/>
      <c r="L311" s="4"/>
      <c r="M311" s="4"/>
      <c r="N311" s="4"/>
    </row>
    <row r="312" ht="29" customHeight="1" spans="2:14">
      <c r="B312" s="16"/>
      <c r="C312" s="4"/>
      <c r="D312" s="4"/>
      <c r="E312" s="4"/>
      <c r="F312" s="4"/>
      <c r="G312" s="4"/>
      <c r="H312" s="4"/>
      <c r="I312" s="6"/>
      <c r="J312" s="6"/>
      <c r="K312" s="6"/>
      <c r="L312" s="4"/>
      <c r="M312" s="4"/>
      <c r="N312" s="4"/>
    </row>
    <row r="313" ht="29" customHeight="1" spans="2:14">
      <c r="B313" s="16"/>
      <c r="C313" s="4"/>
      <c r="D313" s="4"/>
      <c r="E313" s="4"/>
      <c r="F313" s="4"/>
      <c r="G313" s="4"/>
      <c r="H313" s="4"/>
      <c r="I313" s="6"/>
      <c r="J313" s="6"/>
      <c r="K313" s="6"/>
      <c r="L313" s="4"/>
      <c r="M313" s="4"/>
      <c r="N313" s="4"/>
    </row>
    <row r="314" spans="2:14">
      <c r="B314" s="16"/>
      <c r="C314" s="4"/>
      <c r="D314" s="4"/>
      <c r="E314" s="4"/>
      <c r="F314" s="4"/>
      <c r="G314" s="4"/>
      <c r="H314" s="4"/>
      <c r="I314" s="6"/>
      <c r="J314" s="6"/>
      <c r="K314" s="6"/>
      <c r="L314" s="4"/>
      <c r="M314" s="4"/>
      <c r="N314" s="4"/>
    </row>
    <row r="315" ht="29" customHeight="1" spans="2:14">
      <c r="B315" s="16"/>
      <c r="C315" s="4"/>
      <c r="D315" s="4"/>
      <c r="E315" s="4"/>
      <c r="F315" s="4"/>
      <c r="G315" s="4"/>
      <c r="H315" s="4"/>
      <c r="I315" s="6"/>
      <c r="J315" s="6"/>
      <c r="K315" s="6"/>
      <c r="L315" s="4"/>
      <c r="M315" s="4"/>
      <c r="N315" s="4"/>
    </row>
    <row r="316" ht="29" customHeight="1" spans="2:14">
      <c r="B316" s="16"/>
      <c r="C316" s="4"/>
      <c r="D316" s="4"/>
      <c r="E316" s="4"/>
      <c r="F316" s="4"/>
      <c r="G316" s="4"/>
      <c r="H316" s="4"/>
      <c r="I316" s="6"/>
      <c r="J316" s="6"/>
      <c r="K316" s="6"/>
      <c r="L316" s="4"/>
      <c r="M316" s="4"/>
      <c r="N316" s="4"/>
    </row>
    <row r="317" ht="29" customHeight="1" spans="2:14">
      <c r="B317" s="16"/>
      <c r="C317" s="4"/>
      <c r="D317" s="4"/>
      <c r="E317" s="4"/>
      <c r="F317" s="4"/>
      <c r="G317" s="4"/>
      <c r="H317" s="4"/>
      <c r="I317" s="6"/>
      <c r="J317" s="6"/>
      <c r="K317" s="6"/>
      <c r="L317" s="4"/>
      <c r="M317" s="4"/>
      <c r="N317" s="4"/>
    </row>
    <row r="318" spans="2:14">
      <c r="B318" s="16"/>
      <c r="C318" s="4"/>
      <c r="D318" s="4"/>
      <c r="E318" s="4"/>
      <c r="F318" s="4"/>
      <c r="G318" s="4"/>
      <c r="H318" s="4"/>
      <c r="I318" s="6"/>
      <c r="J318" s="6"/>
      <c r="K318" s="6"/>
      <c r="L318" s="4"/>
      <c r="M318" s="4"/>
      <c r="N318" s="4"/>
    </row>
    <row r="319" spans="2:14">
      <c r="B319" s="16"/>
      <c r="C319" s="4"/>
      <c r="D319" s="4"/>
      <c r="E319" s="4"/>
      <c r="F319" s="4"/>
      <c r="G319" s="4"/>
      <c r="H319" s="4"/>
      <c r="I319" s="6"/>
      <c r="J319" s="6"/>
      <c r="K319" s="6"/>
      <c r="L319" s="4"/>
      <c r="M319" s="4"/>
      <c r="N319" s="4"/>
    </row>
    <row r="320" spans="2:14">
      <c r="B320" s="16"/>
      <c r="C320" s="4"/>
      <c r="D320" s="4"/>
      <c r="E320" s="4"/>
      <c r="F320" s="4"/>
      <c r="G320" s="4"/>
      <c r="H320" s="4"/>
      <c r="I320" s="6"/>
      <c r="J320" s="6"/>
      <c r="K320" s="6"/>
      <c r="L320" s="4"/>
      <c r="M320" s="4"/>
      <c r="N320" s="4"/>
    </row>
    <row r="321" spans="2:14">
      <c r="B321" s="16"/>
      <c r="C321" s="4"/>
      <c r="D321" s="4"/>
      <c r="E321" s="4"/>
      <c r="F321" s="4"/>
      <c r="G321" s="4"/>
      <c r="H321" s="4"/>
      <c r="I321" s="6"/>
      <c r="J321" s="6"/>
      <c r="K321" s="6"/>
      <c r="L321" s="4"/>
      <c r="M321" s="4"/>
      <c r="N321" s="4"/>
    </row>
    <row r="322" spans="2:14">
      <c r="B322" s="16"/>
      <c r="C322" s="4"/>
      <c r="D322" s="4"/>
      <c r="E322" s="4"/>
      <c r="F322" s="4"/>
      <c r="G322" s="4"/>
      <c r="H322" s="4"/>
      <c r="I322" s="6"/>
      <c r="J322" s="6"/>
      <c r="K322" s="6"/>
      <c r="L322" s="4"/>
      <c r="M322" s="4"/>
      <c r="N322" s="4"/>
    </row>
    <row r="323" spans="2:14">
      <c r="B323" s="16"/>
      <c r="C323" s="4"/>
      <c r="D323" s="4"/>
      <c r="E323" s="4"/>
      <c r="F323" s="4"/>
      <c r="G323" s="4"/>
      <c r="H323" s="4"/>
      <c r="I323" s="6"/>
      <c r="J323" s="6"/>
      <c r="K323" s="6"/>
      <c r="L323" s="4"/>
      <c r="M323" s="4"/>
      <c r="N323" s="4"/>
    </row>
    <row r="324" spans="2:14">
      <c r="B324" s="16"/>
      <c r="C324" s="4"/>
      <c r="D324" s="4"/>
      <c r="E324" s="4"/>
      <c r="F324" s="4"/>
      <c r="G324" s="4"/>
      <c r="H324" s="4"/>
      <c r="I324" s="6"/>
      <c r="J324" s="6"/>
      <c r="K324" s="6"/>
      <c r="L324" s="4"/>
      <c r="M324" s="4"/>
      <c r="N324" s="4"/>
    </row>
    <row r="325" spans="2:14">
      <c r="B325" s="16"/>
      <c r="C325" s="4"/>
      <c r="D325" s="4"/>
      <c r="E325" s="4"/>
      <c r="F325" s="4"/>
      <c r="G325" s="4"/>
      <c r="H325" s="4"/>
      <c r="I325" s="6"/>
      <c r="J325" s="6"/>
      <c r="K325" s="6"/>
      <c r="L325" s="4"/>
      <c r="M325" s="4"/>
      <c r="N325" s="4"/>
    </row>
    <row r="326" spans="2:14">
      <c r="B326" s="16"/>
      <c r="C326" s="4"/>
      <c r="D326" s="4"/>
      <c r="E326" s="4"/>
      <c r="F326" s="4"/>
      <c r="G326" s="4"/>
      <c r="H326" s="4"/>
      <c r="I326" s="6"/>
      <c r="J326" s="6"/>
      <c r="K326" s="6"/>
      <c r="L326" s="4"/>
      <c r="M326" s="4"/>
      <c r="N326" s="4"/>
    </row>
    <row r="327" spans="2:14">
      <c r="B327" s="16"/>
      <c r="C327" s="4"/>
      <c r="D327" s="4"/>
      <c r="E327" s="4"/>
      <c r="F327" s="4"/>
      <c r="G327" s="4"/>
      <c r="H327" s="4"/>
      <c r="I327" s="6"/>
      <c r="J327" s="6"/>
      <c r="K327" s="6"/>
      <c r="L327" s="4"/>
      <c r="M327" s="4"/>
      <c r="N327" s="4"/>
    </row>
    <row r="328" ht="29" customHeight="1" spans="2:14">
      <c r="B328" s="16"/>
      <c r="C328" s="4"/>
      <c r="D328" s="4"/>
      <c r="E328" s="4"/>
      <c r="F328" s="4"/>
      <c r="G328" s="4"/>
      <c r="H328" s="4"/>
      <c r="I328" s="6"/>
      <c r="J328" s="6"/>
      <c r="K328" s="6"/>
      <c r="L328" s="4"/>
      <c r="M328" s="4"/>
      <c r="N328" s="4"/>
    </row>
    <row r="329" ht="29" customHeight="1" spans="2:14">
      <c r="B329" s="16"/>
      <c r="C329" s="4"/>
      <c r="D329" s="4"/>
      <c r="E329" s="4"/>
      <c r="F329" s="4"/>
      <c r="G329" s="4"/>
      <c r="H329" s="4"/>
      <c r="I329" s="6"/>
      <c r="J329" s="6"/>
      <c r="K329" s="6"/>
      <c r="L329" s="4"/>
      <c r="M329" s="4"/>
      <c r="N329" s="4"/>
    </row>
    <row r="330" ht="29" customHeight="1" spans="2:14">
      <c r="B330" s="16"/>
      <c r="C330" s="4"/>
      <c r="D330" s="4"/>
      <c r="E330" s="4"/>
      <c r="F330" s="4"/>
      <c r="G330" s="4"/>
      <c r="H330" s="4"/>
      <c r="I330" s="6"/>
      <c r="J330" s="6"/>
      <c r="K330" s="6"/>
      <c r="L330" s="4"/>
      <c r="M330" s="4"/>
      <c r="N330" s="4"/>
    </row>
    <row r="331" ht="29" customHeight="1" spans="2:14">
      <c r="B331" s="16"/>
      <c r="C331" s="4"/>
      <c r="D331" s="4"/>
      <c r="E331" s="4"/>
      <c r="F331" s="4"/>
      <c r="G331" s="4"/>
      <c r="H331" s="4"/>
      <c r="I331" s="6"/>
      <c r="J331" s="6"/>
      <c r="K331" s="6"/>
      <c r="L331" s="4"/>
      <c r="M331" s="4"/>
      <c r="N331" s="4"/>
    </row>
    <row r="332" ht="29" customHeight="1" spans="2:14">
      <c r="B332" s="16"/>
      <c r="C332" s="4"/>
      <c r="D332" s="4"/>
      <c r="E332" s="4"/>
      <c r="F332" s="4"/>
      <c r="G332" s="4"/>
      <c r="H332" s="4"/>
      <c r="I332" s="6"/>
      <c r="J332" s="6"/>
      <c r="K332" s="6"/>
      <c r="L332" s="4"/>
      <c r="M332" s="4"/>
      <c r="N332" s="4"/>
    </row>
    <row r="333" ht="29" customHeight="1" spans="2:14">
      <c r="B333" s="16"/>
      <c r="C333" s="4"/>
      <c r="D333" s="4"/>
      <c r="E333" s="4"/>
      <c r="F333" s="4"/>
      <c r="G333" s="4"/>
      <c r="H333" s="4"/>
      <c r="I333" s="6"/>
      <c r="J333" s="6"/>
      <c r="K333" s="6"/>
      <c r="L333" s="4"/>
      <c r="M333" s="4"/>
      <c r="N333" s="4"/>
    </row>
    <row r="334" ht="29" customHeight="1" spans="2:14">
      <c r="B334" s="16"/>
      <c r="C334" s="4"/>
      <c r="D334" s="4"/>
      <c r="E334" s="4"/>
      <c r="F334" s="4"/>
      <c r="G334" s="4"/>
      <c r="H334" s="4"/>
      <c r="I334" s="6"/>
      <c r="J334" s="6"/>
      <c r="K334" s="6"/>
      <c r="L334" s="4"/>
      <c r="M334" s="4"/>
      <c r="N334" s="4"/>
    </row>
    <row r="335" ht="29" customHeight="1" spans="2:14">
      <c r="B335" s="16"/>
      <c r="C335" s="4"/>
      <c r="D335" s="4"/>
      <c r="E335" s="4"/>
      <c r="F335" s="4"/>
      <c r="G335" s="4"/>
      <c r="H335" s="4"/>
      <c r="I335" s="6"/>
      <c r="J335" s="6"/>
      <c r="K335" s="6"/>
      <c r="L335" s="4"/>
      <c r="M335" s="4"/>
      <c r="N335" s="4"/>
    </row>
    <row r="336" ht="29" customHeight="1" spans="2:14">
      <c r="B336" s="16"/>
      <c r="C336" s="4"/>
      <c r="D336" s="4"/>
      <c r="E336" s="4"/>
      <c r="F336" s="4"/>
      <c r="G336" s="4"/>
      <c r="H336" s="4"/>
      <c r="I336" s="6"/>
      <c r="J336" s="6"/>
      <c r="K336" s="6"/>
      <c r="L336" s="4"/>
      <c r="M336" s="4"/>
      <c r="N336" s="4"/>
    </row>
    <row r="337" ht="29" customHeight="1" spans="2:14">
      <c r="B337" s="16"/>
      <c r="C337" s="4"/>
      <c r="D337" s="4"/>
      <c r="E337" s="4"/>
      <c r="F337" s="4"/>
      <c r="G337" s="4"/>
      <c r="H337" s="4"/>
      <c r="I337" s="6"/>
      <c r="J337" s="6"/>
      <c r="K337" s="6"/>
      <c r="L337" s="4"/>
      <c r="M337" s="4"/>
      <c r="N337" s="4"/>
    </row>
    <row r="338" ht="29" customHeight="1" spans="2:14">
      <c r="B338" s="16"/>
      <c r="C338" s="4"/>
      <c r="D338" s="4"/>
      <c r="E338" s="4"/>
      <c r="F338" s="4"/>
      <c r="G338" s="4"/>
      <c r="H338" s="4"/>
      <c r="I338" s="6"/>
      <c r="J338" s="6"/>
      <c r="K338" s="6"/>
      <c r="L338" s="4"/>
      <c r="M338" s="4"/>
      <c r="N338" s="4"/>
    </row>
    <row r="339" ht="29" customHeight="1" spans="2:14">
      <c r="B339" s="16"/>
      <c r="C339" s="4"/>
      <c r="D339" s="4"/>
      <c r="E339" s="4"/>
      <c r="F339" s="4"/>
      <c r="G339" s="4"/>
      <c r="H339" s="4"/>
      <c r="I339" s="6"/>
      <c r="J339" s="6"/>
      <c r="K339" s="6"/>
      <c r="L339" s="4"/>
      <c r="M339" s="4"/>
      <c r="N339" s="4"/>
    </row>
    <row r="340" ht="29" customHeight="1" spans="2:14">
      <c r="B340" s="16"/>
      <c r="C340" s="4"/>
      <c r="D340" s="4"/>
      <c r="E340" s="4"/>
      <c r="F340" s="4"/>
      <c r="G340" s="4"/>
      <c r="H340" s="4"/>
      <c r="I340" s="6"/>
      <c r="J340" s="6"/>
      <c r="K340" s="6"/>
      <c r="L340" s="4"/>
      <c r="M340" s="4"/>
      <c r="N340" s="4"/>
    </row>
    <row r="341" ht="29" customHeight="1" spans="2:14">
      <c r="B341" s="16"/>
      <c r="C341" s="4"/>
      <c r="D341" s="4"/>
      <c r="E341" s="4"/>
      <c r="F341" s="4"/>
      <c r="G341" s="4"/>
      <c r="H341" s="4"/>
      <c r="I341" s="6"/>
      <c r="J341" s="6"/>
      <c r="K341" s="6"/>
      <c r="L341" s="4"/>
      <c r="M341" s="4"/>
      <c r="N341" s="4"/>
    </row>
    <row r="342" ht="29" customHeight="1" spans="2:14">
      <c r="B342" s="16"/>
      <c r="C342" s="4"/>
      <c r="D342" s="4"/>
      <c r="E342" s="4"/>
      <c r="F342" s="4"/>
      <c r="G342" s="4"/>
      <c r="H342" s="4"/>
      <c r="I342" s="6"/>
      <c r="J342" s="6"/>
      <c r="K342" s="6"/>
      <c r="L342" s="4"/>
      <c r="M342" s="4"/>
      <c r="N342" s="4"/>
    </row>
    <row r="343" ht="29" customHeight="1" spans="2:14">
      <c r="B343" s="16"/>
      <c r="C343" s="4"/>
      <c r="D343" s="4"/>
      <c r="E343" s="4"/>
      <c r="F343" s="4"/>
      <c r="G343" s="4"/>
      <c r="H343" s="4"/>
      <c r="I343" s="6"/>
      <c r="J343" s="6"/>
      <c r="K343" s="6"/>
      <c r="L343" s="4"/>
      <c r="M343" s="4"/>
      <c r="N343" s="4"/>
    </row>
    <row r="344" ht="29" customHeight="1" spans="2:14">
      <c r="B344" s="16"/>
      <c r="C344" s="4"/>
      <c r="D344" s="4"/>
      <c r="E344" s="4"/>
      <c r="F344" s="4"/>
      <c r="G344" s="4"/>
      <c r="H344" s="4"/>
      <c r="I344" s="6"/>
      <c r="J344" s="6"/>
      <c r="K344" s="6"/>
      <c r="L344" s="4"/>
      <c r="M344" s="4"/>
      <c r="N344" s="4"/>
    </row>
    <row r="345" ht="29" customHeight="1" spans="2:14">
      <c r="B345" s="16"/>
      <c r="C345" s="4"/>
      <c r="D345" s="4"/>
      <c r="E345" s="4"/>
      <c r="F345" s="4"/>
      <c r="G345" s="4"/>
      <c r="H345" s="4"/>
      <c r="I345" s="6"/>
      <c r="J345" s="6"/>
      <c r="K345" s="6"/>
      <c r="L345" s="4"/>
      <c r="M345" s="4"/>
      <c r="N345" s="4"/>
    </row>
    <row r="346" ht="29" customHeight="1" spans="2:14">
      <c r="B346" s="16"/>
      <c r="C346" s="4"/>
      <c r="D346" s="4"/>
      <c r="E346" s="4"/>
      <c r="F346" s="4"/>
      <c r="G346" s="4"/>
      <c r="H346" s="4"/>
      <c r="I346" s="6"/>
      <c r="J346" s="6"/>
      <c r="K346" s="6"/>
      <c r="L346" s="4"/>
      <c r="M346" s="4"/>
      <c r="N346" s="4"/>
    </row>
    <row r="347" ht="29" customHeight="1" spans="2:14">
      <c r="B347" s="16"/>
      <c r="C347" s="4"/>
      <c r="D347" s="4"/>
      <c r="E347" s="4"/>
      <c r="F347" s="4"/>
      <c r="G347" s="4"/>
      <c r="H347" s="4"/>
      <c r="I347" s="6"/>
      <c r="J347" s="6"/>
      <c r="K347" s="6"/>
      <c r="L347" s="4"/>
      <c r="M347" s="4"/>
      <c r="N347" s="4"/>
    </row>
    <row r="348" spans="2:14">
      <c r="B348" s="16"/>
      <c r="C348" s="4"/>
      <c r="D348" s="4"/>
      <c r="E348" s="4"/>
      <c r="F348" s="4"/>
      <c r="G348" s="4"/>
      <c r="H348" s="4"/>
      <c r="I348" s="6"/>
      <c r="J348" s="6"/>
      <c r="K348" s="6"/>
      <c r="L348" s="4"/>
      <c r="M348" s="4"/>
      <c r="N348" s="4"/>
    </row>
    <row r="349" spans="2:14">
      <c r="B349" s="16"/>
      <c r="C349" s="4"/>
      <c r="D349" s="4"/>
      <c r="E349" s="4"/>
      <c r="F349" s="4"/>
      <c r="G349" s="4"/>
      <c r="H349" s="4"/>
      <c r="I349" s="6"/>
      <c r="J349" s="6"/>
      <c r="K349" s="6"/>
      <c r="L349" s="4"/>
      <c r="M349" s="4"/>
      <c r="N349" s="4"/>
    </row>
    <row r="350" spans="2:14">
      <c r="B350" s="16"/>
      <c r="C350" s="4"/>
      <c r="D350" s="4"/>
      <c r="E350" s="4"/>
      <c r="F350" s="4"/>
      <c r="G350" s="4"/>
      <c r="H350" s="4"/>
      <c r="I350" s="6"/>
      <c r="J350" s="6"/>
      <c r="K350" s="6"/>
      <c r="L350" s="4"/>
      <c r="M350" s="4"/>
      <c r="N350" s="4"/>
    </row>
  </sheetData>
  <mergeCells count="5">
    <mergeCell ref="B4:N4"/>
    <mergeCell ref="P4:V4"/>
    <mergeCell ref="X4:AE4"/>
    <mergeCell ref="AH4:AL4"/>
    <mergeCell ref="AN4:AU4"/>
  </mergeCells>
  <pageMargins left="0.75" right="0.75" top="1" bottom="1" header="0.5" footer="0.5"/>
  <headerFooter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18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D14" sqref="D14"/>
    </sheetView>
  </sheetViews>
  <sheetFormatPr defaultColWidth="9" defaultRowHeight="14.4"/>
  <cols>
    <col min="1" max="1" width="3" customWidth="1"/>
    <col min="2" max="2" width="12" customWidth="1"/>
    <col min="3" max="3" width="26" customWidth="1"/>
    <col min="4" max="23" width="15" customWidth="1"/>
  </cols>
  <sheetData>
    <row r="2" ht="18" customHeight="1" spans="2:23">
      <c r="B2" s="1" t="s">
        <v>162</v>
      </c>
    </row>
    <row r="4" spans="2:23">
      <c r="B4" s="2" t="s">
        <v>102</v>
      </c>
      <c r="C4" s="2" t="s">
        <v>103</v>
      </c>
      <c r="D4" s="2" t="s">
        <v>138</v>
      </c>
      <c r="E4" s="2" t="s">
        <v>139</v>
      </c>
      <c r="F4" s="2" t="s">
        <v>163</v>
      </c>
      <c r="G4" s="2" t="s">
        <v>164</v>
      </c>
      <c r="H4" s="2" t="s">
        <v>165</v>
      </c>
      <c r="I4" s="2" t="s">
        <v>111</v>
      </c>
      <c r="J4" s="2" t="s">
        <v>166</v>
      </c>
      <c r="K4" s="2" t="s">
        <v>167</v>
      </c>
      <c r="L4" s="2" t="s">
        <v>168</v>
      </c>
      <c r="M4" s="2" t="s">
        <v>169</v>
      </c>
      <c r="N4" s="2" t="s">
        <v>170</v>
      </c>
      <c r="O4" s="2" t="s">
        <v>171</v>
      </c>
      <c r="P4" s="2" t="s">
        <v>172</v>
      </c>
      <c r="Q4" s="2" t="s">
        <v>173</v>
      </c>
      <c r="R4" s="2" t="s">
        <v>174</v>
      </c>
      <c r="S4" s="2" t="s">
        <v>175</v>
      </c>
      <c r="T4" s="2" t="s">
        <v>176</v>
      </c>
      <c r="U4" s="2" t="s">
        <v>177</v>
      </c>
      <c r="V4" s="2" t="s">
        <v>178</v>
      </c>
      <c r="W4" s="2" t="s">
        <v>179</v>
      </c>
    </row>
    <row r="5" spans="2:23">
      <c r="B5" s="10" t="s">
        <v>60</v>
      </c>
      <c r="C5" s="4" t="s">
        <v>180</v>
      </c>
      <c r="D5" s="5">
        <f>SUMIFS(tbl_jobs[Doanh_Thu],tbl_jobs[Sale],C5)</f>
        <v>0</v>
      </c>
      <c r="E5" s="5">
        <f>SUMIFS(tbl_jobs[Chi_Phi],tbl_jobs[Sale],C5)</f>
        <v>0</v>
      </c>
      <c r="F5" s="5">
        <f>SUMIFS(tbl_jobs[Profit],tbl_jobs[Sale],C5)</f>
        <v>0</v>
      </c>
      <c r="G5" s="5">
        <f>SUMIFS(tbl_jobs[Profit],tbl_jobs[Sale],C5,tbl_jobs[Paid_Status],"Paid")</f>
        <v>0</v>
      </c>
      <c r="H5" s="5">
        <f t="shared" ref="H5:H11" si="0">F5-G5</f>
        <v>0</v>
      </c>
      <c r="I5" s="5" t="e">
        <f>VLOOKUP(C5,tbl_staff[[Ho_Ten]:[KHmoi_Adj_Rate]],9,0)</f>
        <v>#N/A</v>
      </c>
      <c r="J5" s="11" t="e">
        <f>VLOOKUP(C5,tbl_staff[[Ho_Ten]:[KHmoi_Adj_Rate]],12,0)</f>
        <v>#N/A</v>
      </c>
      <c r="K5" s="5">
        <f>SUMIFS(tbl_jobs[Profit],tbl_jobs[Sale],C5,tbl_jobs[KH_Loai],"Mức 1",tbl_jobs[Paid_Status],"Paid")</f>
        <v>0</v>
      </c>
      <c r="L5" s="5">
        <f>SUMIFS(tbl_jobs[Profit],tbl_jobs[Sale],C5,tbl_jobs[KH_Loai],"Mức 2",tbl_jobs[Paid_Status],"Paid")</f>
        <v>0</v>
      </c>
      <c r="M5" s="5">
        <f>SUMIFS(tbl_jobs[Profit],tbl_jobs[Sale],C5,tbl_jobs[KH_Loai],"Mức 3",tbl_jobs[Paid_Status],"Paid")</f>
        <v>0</v>
      </c>
      <c r="N5" s="11">
        <f>rate_muc1</f>
        <v>0.08</v>
      </c>
      <c r="O5" s="11" t="e">
        <f>rate_muc2+J5</f>
        <v>#N/A</v>
      </c>
      <c r="P5" s="11" t="e">
        <f>rate_muc3+J5</f>
        <v>#N/A</v>
      </c>
      <c r="Q5" s="5" t="e">
        <f t="shared" ref="Q5:Q11" si="1">IF(K5-I5&gt;0,(K5-I5)*N5,0)</f>
        <v>#N/A</v>
      </c>
      <c r="R5" s="5" t="e">
        <f t="shared" ref="R5:R11" si="2">IF(Q5&gt;0,L5*O5,IF(L5-(I5-K5)&gt;0,(L5-(I5-K5))*O5,0))</f>
        <v>#N/A</v>
      </c>
      <c r="S5" s="5" t="e">
        <f t="shared" ref="S5:S11" si="3">IF(R5&gt;0,M5*P5,IF(M5-I5&gt;0,(M5-I5)*P5,0))</f>
        <v>#N/A</v>
      </c>
      <c r="T5" s="5" t="e">
        <f t="shared" ref="T5:T11" si="4">Q5+R5+S5</f>
        <v>#N/A</v>
      </c>
      <c r="U5" s="5">
        <f>IF(B5=head_ma_nv,$E$18,0)</f>
        <v>0</v>
      </c>
      <c r="V5" s="5">
        <f>-IFERROR(VLOOKUP(B5,tbl_penalty_sum[[Ma_NV]:[Tong_Phat]],5,0),0)</f>
        <v>0</v>
      </c>
      <c r="W5" s="7" t="e">
        <f>IF(T5+U5+V5&lt;incentive_floor,incentive_floor,T5+U5+V5)</f>
        <v>#N/A</v>
      </c>
    </row>
    <row r="6" spans="2:23">
      <c r="B6" s="10" t="s">
        <v>181</v>
      </c>
      <c r="C6" s="4" t="s">
        <v>182</v>
      </c>
      <c r="D6" s="5">
        <f>SUMIFS(tbl_jobs[Doanh_Thu],tbl_jobs[Sale],C6)</f>
        <v>0</v>
      </c>
      <c r="E6" s="5">
        <f>SUMIFS(tbl_jobs[Chi_Phi],tbl_jobs[Sale],C6)</f>
        <v>0</v>
      </c>
      <c r="F6" s="5">
        <f>SUMIFS(tbl_jobs[Profit],tbl_jobs[Sale],C6)</f>
        <v>0</v>
      </c>
      <c r="G6" s="5">
        <f>SUMIFS(tbl_jobs[Profit],tbl_jobs[Sale],C6,tbl_jobs[Paid_Status],"Paid")</f>
        <v>0</v>
      </c>
      <c r="H6" s="5">
        <f t="shared" si="0"/>
        <v>0</v>
      </c>
      <c r="I6" s="5" t="e">
        <f>VLOOKUP(C6,tbl_staff[[Ho_Ten]:[KHmoi_Adj_Rate]],9,0)</f>
        <v>#N/A</v>
      </c>
      <c r="J6" s="11" t="e">
        <f>VLOOKUP(C6,tbl_staff[[Ho_Ten]:[KHmoi_Adj_Rate]],12,0)</f>
        <v>#N/A</v>
      </c>
      <c r="K6" s="5">
        <f>SUMIFS(tbl_jobs[Profit],tbl_jobs[Sale],C6,tbl_jobs[KH_Loai],"Mức 1",tbl_jobs[Paid_Status],"Paid")</f>
        <v>0</v>
      </c>
      <c r="L6" s="5">
        <f>SUMIFS(tbl_jobs[Profit],tbl_jobs[Sale],C6,tbl_jobs[KH_Loai],"Mức 2",tbl_jobs[Paid_Status],"Paid")</f>
        <v>0</v>
      </c>
      <c r="M6" s="5">
        <f>SUMIFS(tbl_jobs[Profit],tbl_jobs[Sale],C6,tbl_jobs[KH_Loai],"Mức 3",tbl_jobs[Paid_Status],"Paid")</f>
        <v>0</v>
      </c>
      <c r="N6" s="11">
        <f>rate_muc1</f>
        <v>0.08</v>
      </c>
      <c r="O6" s="11" t="e">
        <f>rate_muc2+J6</f>
        <v>#N/A</v>
      </c>
      <c r="P6" s="11" t="e">
        <f>rate_muc3+J6</f>
        <v>#N/A</v>
      </c>
      <c r="Q6" s="5" t="e">
        <f t="shared" si="1"/>
        <v>#N/A</v>
      </c>
      <c r="R6" s="5" t="e">
        <f t="shared" si="2"/>
        <v>#N/A</v>
      </c>
      <c r="S6" s="5" t="e">
        <f t="shared" si="3"/>
        <v>#N/A</v>
      </c>
      <c r="T6" s="5" t="e">
        <f t="shared" si="4"/>
        <v>#N/A</v>
      </c>
      <c r="U6" s="5">
        <f>IF(B6=head_ma_nv,$E$18,0)</f>
        <v>0</v>
      </c>
      <c r="V6" s="5">
        <f>-IFERROR(VLOOKUP(B6,tbl_penalty_sum[[Ma_NV]:[Tong_Phat]],5,0),0)</f>
        <v>0</v>
      </c>
      <c r="W6" s="7" t="e">
        <f>IF(T6+U6+V6&lt;incentive_floor,incentive_floor,T6+U6+V6)</f>
        <v>#N/A</v>
      </c>
    </row>
    <row r="7" spans="2:23">
      <c r="B7" s="10" t="s">
        <v>183</v>
      </c>
      <c r="C7" s="4" t="s">
        <v>184</v>
      </c>
      <c r="D7" s="5">
        <f>SUMIFS(tbl_jobs[Doanh_Thu],tbl_jobs[Sale],C7)</f>
        <v>0</v>
      </c>
      <c r="E7" s="5">
        <f>SUMIFS(tbl_jobs[Chi_Phi],tbl_jobs[Sale],C7)</f>
        <v>0</v>
      </c>
      <c r="F7" s="5">
        <f>SUMIFS(tbl_jobs[Profit],tbl_jobs[Sale],C7)</f>
        <v>0</v>
      </c>
      <c r="G7" s="5">
        <f>SUMIFS(tbl_jobs[Profit],tbl_jobs[Sale],C7,tbl_jobs[Paid_Status],"Paid")</f>
        <v>0</v>
      </c>
      <c r="H7" s="5">
        <f t="shared" si="0"/>
        <v>0</v>
      </c>
      <c r="I7" s="5" t="e">
        <f>VLOOKUP(C7,tbl_staff[[Ho_Ten]:[KHmoi_Adj_Rate]],9,0)</f>
        <v>#N/A</v>
      </c>
      <c r="J7" s="11" t="e">
        <f>VLOOKUP(C7,tbl_staff[[Ho_Ten]:[KHmoi_Adj_Rate]],12,0)</f>
        <v>#N/A</v>
      </c>
      <c r="K7" s="5">
        <f>SUMIFS(tbl_jobs[Profit],tbl_jobs[Sale],C7,tbl_jobs[KH_Loai],"Mức 1",tbl_jobs[Paid_Status],"Paid")</f>
        <v>0</v>
      </c>
      <c r="L7" s="5">
        <f>SUMIFS(tbl_jobs[Profit],tbl_jobs[Sale],C7,tbl_jobs[KH_Loai],"Mức 2",tbl_jobs[Paid_Status],"Paid")</f>
        <v>0</v>
      </c>
      <c r="M7" s="5">
        <f>SUMIFS(tbl_jobs[Profit],tbl_jobs[Sale],C7,tbl_jobs[KH_Loai],"Mức 3",tbl_jobs[Paid_Status],"Paid")</f>
        <v>0</v>
      </c>
      <c r="N7" s="11">
        <f>rate_muc1</f>
        <v>0.08</v>
      </c>
      <c r="O7" s="11" t="e">
        <f>rate_muc2+J7</f>
        <v>#N/A</v>
      </c>
      <c r="P7" s="11" t="e">
        <f>rate_muc3+J7</f>
        <v>#N/A</v>
      </c>
      <c r="Q7" s="5" t="e">
        <f t="shared" si="1"/>
        <v>#N/A</v>
      </c>
      <c r="R7" s="5" t="e">
        <f t="shared" si="2"/>
        <v>#N/A</v>
      </c>
      <c r="S7" s="5" t="e">
        <f t="shared" si="3"/>
        <v>#N/A</v>
      </c>
      <c r="T7" s="5" t="e">
        <f t="shared" si="4"/>
        <v>#N/A</v>
      </c>
      <c r="U7" s="5">
        <f>IF(B7=head_ma_nv,$E$18,0)</f>
        <v>0</v>
      </c>
      <c r="V7" s="5">
        <f>-IFERROR(VLOOKUP(B7,tbl_penalty_sum[[Ma_NV]:[Tong_Phat]],5,0),0)</f>
        <v>0</v>
      </c>
      <c r="W7" s="7" t="e">
        <f>IF(T7+U7+V7&lt;incentive_floor,incentive_floor,T7+U7+V7)</f>
        <v>#N/A</v>
      </c>
    </row>
    <row r="8" spans="2:23">
      <c r="B8" s="10" t="s">
        <v>185</v>
      </c>
      <c r="C8" s="4" t="s">
        <v>186</v>
      </c>
      <c r="D8" s="5">
        <f>SUMIFS(tbl_jobs[Doanh_Thu],tbl_jobs[Sale],C8)</f>
        <v>0</v>
      </c>
      <c r="E8" s="5">
        <f>SUMIFS(tbl_jobs[Chi_Phi],tbl_jobs[Sale],C8)</f>
        <v>0</v>
      </c>
      <c r="F8" s="5">
        <f>SUMIFS(tbl_jobs[Profit],tbl_jobs[Sale],C8)</f>
        <v>0</v>
      </c>
      <c r="G8" s="5">
        <f>SUMIFS(tbl_jobs[Profit],tbl_jobs[Sale],C8,tbl_jobs[Paid_Status],"Paid")</f>
        <v>0</v>
      </c>
      <c r="H8" s="5">
        <f t="shared" si="0"/>
        <v>0</v>
      </c>
      <c r="I8" s="5" t="e">
        <f>VLOOKUP(C8,tbl_staff[[Ho_Ten]:[KHmoi_Adj_Rate]],9,0)</f>
        <v>#N/A</v>
      </c>
      <c r="J8" s="11" t="e">
        <f>VLOOKUP(C8,tbl_staff[[Ho_Ten]:[KHmoi_Adj_Rate]],12,0)</f>
        <v>#N/A</v>
      </c>
      <c r="K8" s="5">
        <f>SUMIFS(tbl_jobs[Profit],tbl_jobs[Sale],C8,tbl_jobs[KH_Loai],"Mức 1",tbl_jobs[Paid_Status],"Paid")</f>
        <v>0</v>
      </c>
      <c r="L8" s="5">
        <f>SUMIFS(tbl_jobs[Profit],tbl_jobs[Sale],C8,tbl_jobs[KH_Loai],"Mức 2",tbl_jobs[Paid_Status],"Paid")</f>
        <v>0</v>
      </c>
      <c r="M8" s="5">
        <f>SUMIFS(tbl_jobs[Profit],tbl_jobs[Sale],C8,tbl_jobs[KH_Loai],"Mức 3",tbl_jobs[Paid_Status],"Paid")</f>
        <v>0</v>
      </c>
      <c r="N8" s="11">
        <f>rate_muc1</f>
        <v>0.08</v>
      </c>
      <c r="O8" s="11" t="e">
        <f>rate_muc2+J8</f>
        <v>#N/A</v>
      </c>
      <c r="P8" s="11" t="e">
        <f>rate_muc3+J8</f>
        <v>#N/A</v>
      </c>
      <c r="Q8" s="5" t="e">
        <f t="shared" si="1"/>
        <v>#N/A</v>
      </c>
      <c r="R8" s="5" t="e">
        <f t="shared" si="2"/>
        <v>#N/A</v>
      </c>
      <c r="S8" s="5" t="e">
        <f t="shared" si="3"/>
        <v>#N/A</v>
      </c>
      <c r="T8" s="5" t="e">
        <f t="shared" si="4"/>
        <v>#N/A</v>
      </c>
      <c r="U8" s="5">
        <f>IF(B8=head_ma_nv,$E$18,0)</f>
        <v>0</v>
      </c>
      <c r="V8" s="5">
        <f>-IFERROR(VLOOKUP(B8,tbl_penalty_sum[[Ma_NV]:[Tong_Phat]],5,0),0)</f>
        <v>0</v>
      </c>
      <c r="W8" s="7" t="e">
        <f>IF(T8+U8+V8&lt;incentive_floor,incentive_floor,T8+U8+V8)</f>
        <v>#N/A</v>
      </c>
    </row>
    <row r="9" spans="2:23">
      <c r="B9" s="10" t="s">
        <v>187</v>
      </c>
      <c r="C9" s="4" t="s">
        <v>188</v>
      </c>
      <c r="D9" s="5">
        <f>SUMIFS(tbl_jobs[Doanh_Thu],tbl_jobs[Sale],C9)</f>
        <v>0</v>
      </c>
      <c r="E9" s="5">
        <f>SUMIFS(tbl_jobs[Chi_Phi],tbl_jobs[Sale],C9)</f>
        <v>0</v>
      </c>
      <c r="F9" s="5">
        <f>SUMIFS(tbl_jobs[Profit],tbl_jobs[Sale],C9)</f>
        <v>0</v>
      </c>
      <c r="G9" s="5">
        <f>SUMIFS(tbl_jobs[Profit],tbl_jobs[Sale],C9,tbl_jobs[Paid_Status],"Paid")</f>
        <v>0</v>
      </c>
      <c r="H9" s="5">
        <f t="shared" si="0"/>
        <v>0</v>
      </c>
      <c r="I9" s="5" t="e">
        <f>VLOOKUP(C9,tbl_staff[[Ho_Ten]:[KHmoi_Adj_Rate]],9,0)</f>
        <v>#N/A</v>
      </c>
      <c r="J9" s="11" t="e">
        <f>VLOOKUP(C9,tbl_staff[[Ho_Ten]:[KHmoi_Adj_Rate]],12,0)</f>
        <v>#N/A</v>
      </c>
      <c r="K9" s="5">
        <f>SUMIFS(tbl_jobs[Profit],tbl_jobs[Sale],C9,tbl_jobs[KH_Loai],"Mức 1",tbl_jobs[Paid_Status],"Paid")</f>
        <v>0</v>
      </c>
      <c r="L9" s="5">
        <f>SUMIFS(tbl_jobs[Profit],tbl_jobs[Sale],C9,tbl_jobs[KH_Loai],"Mức 2",tbl_jobs[Paid_Status],"Paid")</f>
        <v>0</v>
      </c>
      <c r="M9" s="5">
        <f>SUMIFS(tbl_jobs[Profit],tbl_jobs[Sale],C9,tbl_jobs[KH_Loai],"Mức 3",tbl_jobs[Paid_Status],"Paid")</f>
        <v>0</v>
      </c>
      <c r="N9" s="11">
        <f>rate_muc1</f>
        <v>0.08</v>
      </c>
      <c r="O9" s="11" t="e">
        <f>rate_muc2+J9</f>
        <v>#N/A</v>
      </c>
      <c r="P9" s="11" t="e">
        <f>rate_muc3+J9</f>
        <v>#N/A</v>
      </c>
      <c r="Q9" s="5" t="e">
        <f t="shared" si="1"/>
        <v>#N/A</v>
      </c>
      <c r="R9" s="5" t="e">
        <f t="shared" si="2"/>
        <v>#N/A</v>
      </c>
      <c r="S9" s="5" t="e">
        <f t="shared" si="3"/>
        <v>#N/A</v>
      </c>
      <c r="T9" s="5" t="e">
        <f t="shared" si="4"/>
        <v>#N/A</v>
      </c>
      <c r="U9" s="5">
        <f>IF(B9=head_ma_nv,$E$18,0)</f>
        <v>0</v>
      </c>
      <c r="V9" s="5">
        <f>-IFERROR(VLOOKUP(B9,tbl_penalty_sum[[Ma_NV]:[Tong_Phat]],5,0),0)</f>
        <v>0</v>
      </c>
      <c r="W9" s="7" t="e">
        <f>IF(T9+U9+V9&lt;incentive_floor,incentive_floor,T9+U9+V9)</f>
        <v>#N/A</v>
      </c>
    </row>
    <row r="10" spans="2:23">
      <c r="B10" s="10" t="s">
        <v>189</v>
      </c>
      <c r="C10" s="4" t="s">
        <v>190</v>
      </c>
      <c r="D10" s="5">
        <f>SUMIFS(tbl_jobs[Doanh_Thu],tbl_jobs[Sale],C10)</f>
        <v>0</v>
      </c>
      <c r="E10" s="5">
        <f>SUMIFS(tbl_jobs[Chi_Phi],tbl_jobs[Sale],C10)</f>
        <v>0</v>
      </c>
      <c r="F10" s="5">
        <f>SUMIFS(tbl_jobs[Profit],tbl_jobs[Sale],C10)</f>
        <v>0</v>
      </c>
      <c r="G10" s="5">
        <f>SUMIFS(tbl_jobs[Profit],tbl_jobs[Sale],C10,tbl_jobs[Paid_Status],"Paid")</f>
        <v>0</v>
      </c>
      <c r="H10" s="5">
        <f t="shared" si="0"/>
        <v>0</v>
      </c>
      <c r="I10" s="5" t="e">
        <f>VLOOKUP(C10,tbl_staff[[Ho_Ten]:[KHmoi_Adj_Rate]],9,0)</f>
        <v>#N/A</v>
      </c>
      <c r="J10" s="11" t="e">
        <f>VLOOKUP(C10,tbl_staff[[Ho_Ten]:[KHmoi_Adj_Rate]],12,0)</f>
        <v>#N/A</v>
      </c>
      <c r="K10" s="5">
        <f>SUMIFS(tbl_jobs[Profit],tbl_jobs[Sale],C10,tbl_jobs[KH_Loai],"Mức 1",tbl_jobs[Paid_Status],"Paid")</f>
        <v>0</v>
      </c>
      <c r="L10" s="5">
        <f>SUMIFS(tbl_jobs[Profit],tbl_jobs[Sale],C10,tbl_jobs[KH_Loai],"Mức 2",tbl_jobs[Paid_Status],"Paid")</f>
        <v>0</v>
      </c>
      <c r="M10" s="5">
        <f>SUMIFS(tbl_jobs[Profit],tbl_jobs[Sale],C10,tbl_jobs[KH_Loai],"Mức 3",tbl_jobs[Paid_Status],"Paid")</f>
        <v>0</v>
      </c>
      <c r="N10" s="11">
        <f>rate_muc1</f>
        <v>0.08</v>
      </c>
      <c r="O10" s="11" t="e">
        <f>rate_muc2+J10</f>
        <v>#N/A</v>
      </c>
      <c r="P10" s="11" t="e">
        <f>rate_muc3+J10</f>
        <v>#N/A</v>
      </c>
      <c r="Q10" s="5" t="e">
        <f t="shared" si="1"/>
        <v>#N/A</v>
      </c>
      <c r="R10" s="5" t="e">
        <f t="shared" si="2"/>
        <v>#N/A</v>
      </c>
      <c r="S10" s="5" t="e">
        <f t="shared" si="3"/>
        <v>#N/A</v>
      </c>
      <c r="T10" s="5" t="e">
        <f t="shared" si="4"/>
        <v>#N/A</v>
      </c>
      <c r="U10" s="5">
        <f>IF(B10=head_ma_nv,$E$18,0)</f>
        <v>0</v>
      </c>
      <c r="V10" s="5">
        <f>-IFERROR(VLOOKUP(B10,tbl_penalty_sum[[Ma_NV]:[Tong_Phat]],5,0),0)</f>
        <v>0</v>
      </c>
      <c r="W10" s="7" t="e">
        <f>IF(T10+U10+V10&lt;incentive_floor,incentive_floor,T10+U10+V10)</f>
        <v>#N/A</v>
      </c>
    </row>
    <row r="11" spans="2:23">
      <c r="B11" s="10" t="s">
        <v>191</v>
      </c>
      <c r="C11" s="4" t="s">
        <v>192</v>
      </c>
      <c r="D11" s="5">
        <f>SUMIFS(tbl_jobs[Doanh_Thu],tbl_jobs[Sale],C11)</f>
        <v>0</v>
      </c>
      <c r="E11" s="5">
        <f>SUMIFS(tbl_jobs[Chi_Phi],tbl_jobs[Sale],C11)</f>
        <v>0</v>
      </c>
      <c r="F11" s="5">
        <f>SUMIFS(tbl_jobs[Profit],tbl_jobs[Sale],C11)</f>
        <v>0</v>
      </c>
      <c r="G11" s="5">
        <f>SUMIFS(tbl_jobs[Profit],tbl_jobs[Sale],C11,tbl_jobs[Paid_Status],"Paid")</f>
        <v>0</v>
      </c>
      <c r="H11" s="5">
        <f t="shared" si="0"/>
        <v>0</v>
      </c>
      <c r="I11" s="5" t="e">
        <f>VLOOKUP(C11,tbl_staff[[Ho_Ten]:[KHmoi_Adj_Rate]],9,0)</f>
        <v>#N/A</v>
      </c>
      <c r="J11" s="11" t="e">
        <f>VLOOKUP(C11,tbl_staff[[Ho_Ten]:[KHmoi_Adj_Rate]],12,0)</f>
        <v>#N/A</v>
      </c>
      <c r="K11" s="5">
        <f>SUMIFS(tbl_jobs[Profit],tbl_jobs[Sale],C11,tbl_jobs[KH_Loai],"Mức 1",tbl_jobs[Paid_Status],"Paid")</f>
        <v>0</v>
      </c>
      <c r="L11" s="5">
        <f>SUMIFS(tbl_jobs[Profit],tbl_jobs[Sale],C11,tbl_jobs[KH_Loai],"Mức 2",tbl_jobs[Paid_Status],"Paid")</f>
        <v>0</v>
      </c>
      <c r="M11" s="5">
        <f>SUMIFS(tbl_jobs[Profit],tbl_jobs[Sale],C11,tbl_jobs[KH_Loai],"Mức 3",tbl_jobs[Paid_Status],"Paid")</f>
        <v>0</v>
      </c>
      <c r="N11" s="11">
        <f>rate_muc1</f>
        <v>0.08</v>
      </c>
      <c r="O11" s="11" t="e">
        <f>rate_muc2+J11</f>
        <v>#N/A</v>
      </c>
      <c r="P11" s="11" t="e">
        <f>rate_muc3+J11</f>
        <v>#N/A</v>
      </c>
      <c r="Q11" s="5" t="e">
        <f t="shared" si="1"/>
        <v>#N/A</v>
      </c>
      <c r="R11" s="5" t="e">
        <f t="shared" si="2"/>
        <v>#N/A</v>
      </c>
      <c r="S11" s="5" t="e">
        <f t="shared" si="3"/>
        <v>#N/A</v>
      </c>
      <c r="T11" s="5" t="e">
        <f t="shared" si="4"/>
        <v>#N/A</v>
      </c>
      <c r="U11" s="5">
        <f>IF(B11=head_ma_nv,$E$18,0)</f>
        <v>0</v>
      </c>
      <c r="V11" s="5">
        <f>-IFERROR(VLOOKUP(B11,tbl_penalty_sum[[Ma_NV]:[Tong_Phat]],5,0),0)</f>
        <v>0</v>
      </c>
      <c r="W11" s="7" t="e">
        <f>IF(T11+U11+V11&lt;incentive_floor,incentive_floor,T11+U11+V11)</f>
        <v>#N/A</v>
      </c>
    </row>
    <row r="13" ht="15.5" customHeight="1" spans="2:23">
      <c r="B13" s="12" t="s">
        <v>193</v>
      </c>
    </row>
    <row r="14" ht="28" customHeight="1" spans="2:23">
      <c r="B14" s="2" t="s">
        <v>194</v>
      </c>
      <c r="C14" s="2" t="s">
        <v>195</v>
      </c>
      <c r="E14" s="2" t="s">
        <v>196</v>
      </c>
      <c r="F14" s="2" t="s">
        <v>197</v>
      </c>
      <c r="G14" s="2" t="s">
        <v>198</v>
      </c>
      <c r="H14" s="2" t="s">
        <v>199</v>
      </c>
      <c r="I14" s="2" t="s">
        <v>200</v>
      </c>
    </row>
    <row r="15" ht="29" customHeight="1" spans="2:23">
      <c r="B15" s="13" t="s">
        <v>201</v>
      </c>
      <c r="C15" s="13"/>
      <c r="D15" s="18"/>
      <c r="E15" s="5">
        <f>SUMIFS(G5:G11,B5:B11,"&lt;&gt;"&amp;head_ma_nv,I5:I11,"&gt;0")</f>
        <v>0</v>
      </c>
      <c r="F15" s="5">
        <f>SUMIFS(I5:I11,B5:B11,"&lt;&gt;"&amp;head_ma_nv,I5:I11,"&gt;0")</f>
        <v>0</v>
      </c>
      <c r="G15" s="5">
        <f>E15-F15</f>
        <v>0</v>
      </c>
      <c r="H15" s="19">
        <f>SUMIFS(tbl_staff[KHmoi_Giao],tbl_staff[Team],"COM")</f>
        <v>18</v>
      </c>
      <c r="I15">
        <f>SUMIFS(tbl_staff[KHmoi_Dat],tbl_staff[Team],"COM")</f>
        <v>0</v>
      </c>
    </row>
    <row r="16" ht="29" customHeight="1" spans="2:23">
      <c r="B16" s="13" t="s">
        <v>202</v>
      </c>
      <c r="C16" s="13"/>
      <c r="D16" s="18"/>
      <c r="E16" s="19">
        <f>I15-H15</f>
        <v>-18</v>
      </c>
      <c r="F16" s="18"/>
      <c r="G16" s="18"/>
      <c r="H16" s="18"/>
    </row>
    <row r="17" ht="58" customHeight="1" spans="2:8">
      <c r="B17" s="13" t="s">
        <v>203</v>
      </c>
      <c r="C17" s="13" t="s">
        <v>204</v>
      </c>
      <c r="D17" s="18"/>
      <c r="E17" s="5">
        <f>rate_bpsale*MAX(0,G15)</f>
        <v>0</v>
      </c>
      <c r="F17" s="5">
        <f>IF(E16&gt;=0,MIN(bpsale_cap_cong,E16*bpsale_step_cong),MAX(-bpsale_cap_tru,E16*bpsale_step_tru))*MAX(0,G15)</f>
        <v>0</v>
      </c>
      <c r="G17" s="18"/>
      <c r="H17" s="18"/>
    </row>
    <row r="18" ht="43.5" customHeight="1" spans="2:8">
      <c r="B18" s="8" t="s">
        <v>205</v>
      </c>
      <c r="C18" s="8" t="s">
        <v>206</v>
      </c>
      <c r="D18" s="20"/>
      <c r="E18" s="7">
        <f>(E17+F17)*head_bonus_apply</f>
        <v>0</v>
      </c>
      <c r="F18" s="20"/>
      <c r="G18" s="20"/>
      <c r="H18" s="20"/>
    </row>
  </sheetData>
  <mergeCells count="1">
    <mergeCell ref="B13:I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5"/>
  <sheetViews>
    <sheetView showGridLines="0" workbookViewId="0">
      <pane ySplit="3" topLeftCell="A4" activePane="bottomLeft" state="frozen"/>
      <selection/>
      <selection pane="bottomLeft" activeCell="C22" sqref="C22"/>
    </sheetView>
  </sheetViews>
  <sheetFormatPr defaultColWidth="9" defaultRowHeight="14.4"/>
  <cols>
    <col min="1" max="1" width="3" customWidth="1"/>
    <col min="2" max="2" width="12" customWidth="1"/>
    <col min="3" max="3" width="26" customWidth="1"/>
    <col min="4" max="6" width="10" customWidth="1"/>
    <col min="7" max="10" width="15" customWidth="1"/>
    <col min="11" max="12" width="12" customWidth="1"/>
    <col min="13" max="13" width="15" customWidth="1"/>
  </cols>
  <sheetData>
    <row r="2" ht="18" customHeight="1" spans="2:9">
      <c r="B2" s="1" t="s">
        <v>207</v>
      </c>
    </row>
    <row r="4" ht="15.5" customHeight="1" spans="2:9">
      <c r="B4" s="12" t="s">
        <v>208</v>
      </c>
    </row>
    <row r="5" spans="2:9">
      <c r="B5" s="2" t="s">
        <v>209</v>
      </c>
      <c r="C5" s="2" t="s">
        <v>210</v>
      </c>
      <c r="D5" s="2" t="s">
        <v>211</v>
      </c>
      <c r="E5" s="2" t="s">
        <v>212</v>
      </c>
      <c r="F5" s="2" t="s">
        <v>93</v>
      </c>
      <c r="G5" s="2" t="s">
        <v>213</v>
      </c>
      <c r="H5" s="2" t="s">
        <v>214</v>
      </c>
      <c r="I5" s="2" t="s">
        <v>215</v>
      </c>
    </row>
    <row r="6" spans="2:9">
      <c r="B6" s="13" t="s">
        <v>216</v>
      </c>
      <c r="C6" s="5">
        <f>SUMIFS(tbl_jobs[Profit],tbl_jobs[KAE],"KAE Admin",tbl_jobs[Thang],1)</f>
        <v>0</v>
      </c>
      <c r="D6" s="5">
        <f>SUMIFS(tbl_jobs[Profit],tbl_jobs[KAE],"KAE Admin",tbl_jobs[Thang],2)</f>
        <v>0</v>
      </c>
      <c r="E6" s="5">
        <f>SUMIFS(tbl_jobs[Profit],tbl_jobs[KAE],"KAE Admin",tbl_jobs[Thang],3)</f>
        <v>0</v>
      </c>
      <c r="F6" s="11">
        <f>pool_kae_admin</f>
        <v>0.05</v>
      </c>
      <c r="G6" s="5">
        <f>C6*F6</f>
        <v>0</v>
      </c>
      <c r="H6" s="5">
        <f>D6*F6</f>
        <v>0</v>
      </c>
      <c r="I6" s="5">
        <f>E6*F6</f>
        <v>0</v>
      </c>
    </row>
    <row r="7" spans="2:9">
      <c r="B7" s="13" t="s">
        <v>217</v>
      </c>
      <c r="C7" s="5">
        <f>SUMIFS(tbl_jobs[Profit],tbl_jobs[KAE],"KAE Sale",tbl_jobs[Thang],1)</f>
        <v>0</v>
      </c>
      <c r="D7" s="5">
        <f>SUMIFS(tbl_jobs[Profit],tbl_jobs[KAE],"KAE Sale",tbl_jobs[Thang],2)</f>
        <v>0</v>
      </c>
      <c r="E7" s="5">
        <f>SUMIFS(tbl_jobs[Profit],tbl_jobs[KAE],"KAE Sale",tbl_jobs[Thang],3)</f>
        <v>0</v>
      </c>
      <c r="F7" s="11">
        <f>pool_kae_sale</f>
        <v>0.02</v>
      </c>
      <c r="G7" s="5">
        <f>C7*F7</f>
        <v>0</v>
      </c>
      <c r="H7" s="5">
        <f>D7*F7</f>
        <v>0</v>
      </c>
      <c r="I7" s="5">
        <f>E7*F7</f>
        <v>0</v>
      </c>
    </row>
    <row r="8" spans="2:9">
      <c r="B8" s="8" t="s">
        <v>218</v>
      </c>
      <c r="C8" s="14"/>
      <c r="D8" s="14"/>
      <c r="E8" s="14"/>
      <c r="F8" s="15"/>
      <c r="G8" s="14">
        <f>G6+G7</f>
        <v>0</v>
      </c>
      <c r="H8" s="14">
        <f>H6+H7</f>
        <v>0</v>
      </c>
      <c r="I8" s="14">
        <f>I6+I7</f>
        <v>0</v>
      </c>
    </row>
    <row r="11" ht="15.5" customHeight="1" spans="2:9">
      <c r="B11" s="12" t="s">
        <v>219</v>
      </c>
    </row>
    <row r="12" spans="2:9">
      <c r="B12" s="2" t="s">
        <v>132</v>
      </c>
      <c r="C12" s="2" t="s">
        <v>220</v>
      </c>
    </row>
    <row r="13" spans="2:9">
      <c r="B13" s="3">
        <v>1</v>
      </c>
      <c r="C13" s="16"/>
    </row>
    <row r="14" spans="2:9">
      <c r="B14" s="3">
        <v>2</v>
      </c>
      <c r="C14" s="16"/>
    </row>
    <row r="15" spans="2:9">
      <c r="B15" s="3">
        <v>3</v>
      </c>
      <c r="C15" s="16"/>
    </row>
    <row r="18" ht="15.5" customHeight="1" spans="2:13">
      <c r="B18" s="12" t="s">
        <v>221</v>
      </c>
    </row>
    <row r="19" spans="2:13">
      <c r="B19" s="2" t="s">
        <v>102</v>
      </c>
      <c r="C19" s="2" t="s">
        <v>103</v>
      </c>
      <c r="D19" s="2" t="s">
        <v>222</v>
      </c>
      <c r="E19" s="2" t="s">
        <v>223</v>
      </c>
      <c r="F19" s="2" t="s">
        <v>224</v>
      </c>
      <c r="G19" s="2" t="s">
        <v>225</v>
      </c>
      <c r="H19" s="2" t="s">
        <v>226</v>
      </c>
      <c r="I19" s="2" t="s">
        <v>227</v>
      </c>
      <c r="J19" s="2" t="s">
        <v>228</v>
      </c>
      <c r="K19" s="2" t="s">
        <v>229</v>
      </c>
      <c r="L19" s="2" t="s">
        <v>152</v>
      </c>
      <c r="M19" s="2" t="s">
        <v>230</v>
      </c>
    </row>
    <row r="20" spans="2:13">
      <c r="B20" s="10"/>
      <c r="C20" s="4"/>
      <c r="D20" s="17"/>
      <c r="E20" s="17"/>
      <c r="F20" s="17"/>
      <c r="G20" s="5" t="e">
        <f t="shared" ref="G20:G25" si="0">$G$8/$C$13*D20</f>
        <v>#DIV/0!</v>
      </c>
      <c r="H20" s="5" t="e">
        <f t="shared" ref="H20:H25" si="1">$H$8/$C$14*E20</f>
        <v>#DIV/0!</v>
      </c>
      <c r="I20" s="5" t="e">
        <f t="shared" ref="I20:I25" si="2">$I$8/$C$15*F20</f>
        <v>#DIV/0!</v>
      </c>
      <c r="J20" s="5" t="e">
        <f t="shared" ref="J20:J25" si="3">G20+H20+I20</f>
        <v>#DIV/0!</v>
      </c>
      <c r="K20" s="6"/>
      <c r="L20" s="6"/>
      <c r="M20" s="7" t="e">
        <f t="shared" ref="M20:M25" si="4">J20-K20-L20</f>
        <v>#DIV/0!</v>
      </c>
    </row>
    <row r="21" spans="2:13">
      <c r="B21" s="10"/>
      <c r="C21" s="4"/>
      <c r="D21" s="17"/>
      <c r="E21" s="17"/>
      <c r="F21" s="17"/>
      <c r="G21" s="5" t="e">
        <f t="shared" si="0"/>
        <v>#DIV/0!</v>
      </c>
      <c r="H21" s="5" t="e">
        <f t="shared" si="1"/>
        <v>#DIV/0!</v>
      </c>
      <c r="I21" s="5" t="e">
        <f t="shared" si="2"/>
        <v>#DIV/0!</v>
      </c>
      <c r="J21" s="5" t="e">
        <f t="shared" si="3"/>
        <v>#DIV/0!</v>
      </c>
      <c r="K21" s="6"/>
      <c r="L21" s="6"/>
      <c r="M21" s="7" t="e">
        <f t="shared" si="4"/>
        <v>#DIV/0!</v>
      </c>
    </row>
    <row r="22" spans="2:13">
      <c r="B22" s="10"/>
      <c r="C22" s="4"/>
      <c r="D22" s="17"/>
      <c r="E22" s="17"/>
      <c r="F22" s="17"/>
      <c r="G22" s="5" t="e">
        <f t="shared" si="0"/>
        <v>#DIV/0!</v>
      </c>
      <c r="H22" s="5" t="e">
        <f t="shared" si="1"/>
        <v>#DIV/0!</v>
      </c>
      <c r="I22" s="5" t="e">
        <f t="shared" si="2"/>
        <v>#DIV/0!</v>
      </c>
      <c r="J22" s="5" t="e">
        <f t="shared" si="3"/>
        <v>#DIV/0!</v>
      </c>
      <c r="K22" s="6"/>
      <c r="L22" s="6"/>
      <c r="M22" s="7" t="e">
        <f t="shared" si="4"/>
        <v>#DIV/0!</v>
      </c>
    </row>
    <row r="23" spans="2:13">
      <c r="B23" s="10"/>
      <c r="C23" s="4"/>
      <c r="D23" s="17"/>
      <c r="E23" s="17"/>
      <c r="F23" s="17"/>
      <c r="G23" s="5" t="e">
        <f t="shared" si="0"/>
        <v>#DIV/0!</v>
      </c>
      <c r="H23" s="5" t="e">
        <f t="shared" si="1"/>
        <v>#DIV/0!</v>
      </c>
      <c r="I23" s="5" t="e">
        <f t="shared" si="2"/>
        <v>#DIV/0!</v>
      </c>
      <c r="J23" s="5" t="e">
        <f t="shared" si="3"/>
        <v>#DIV/0!</v>
      </c>
      <c r="K23" s="6"/>
      <c r="L23" s="6"/>
      <c r="M23" s="7" t="e">
        <f t="shared" si="4"/>
        <v>#DIV/0!</v>
      </c>
    </row>
    <row r="24" spans="2:13">
      <c r="B24" s="10"/>
      <c r="C24" s="4"/>
      <c r="D24" s="17"/>
      <c r="E24" s="17"/>
      <c r="F24" s="17"/>
      <c r="G24" s="5" t="e">
        <f t="shared" si="0"/>
        <v>#DIV/0!</v>
      </c>
      <c r="H24" s="5" t="e">
        <f t="shared" si="1"/>
        <v>#DIV/0!</v>
      </c>
      <c r="I24" s="5" t="e">
        <f t="shared" si="2"/>
        <v>#DIV/0!</v>
      </c>
      <c r="J24" s="5" t="e">
        <f t="shared" si="3"/>
        <v>#DIV/0!</v>
      </c>
      <c r="K24" s="6"/>
      <c r="L24" s="6"/>
      <c r="M24" s="7" t="e">
        <f t="shared" si="4"/>
        <v>#DIV/0!</v>
      </c>
    </row>
    <row r="25" spans="2:13">
      <c r="B25" s="10"/>
      <c r="C25" s="4"/>
      <c r="D25" s="17"/>
      <c r="E25" s="17"/>
      <c r="F25" s="17"/>
      <c r="G25" s="5" t="e">
        <f t="shared" si="0"/>
        <v>#DIV/0!</v>
      </c>
      <c r="H25" s="5" t="e">
        <f t="shared" si="1"/>
        <v>#DIV/0!</v>
      </c>
      <c r="I25" s="5" t="e">
        <f t="shared" si="2"/>
        <v>#DIV/0!</v>
      </c>
      <c r="J25" s="5" t="e">
        <f t="shared" si="3"/>
        <v>#DIV/0!</v>
      </c>
      <c r="K25" s="6"/>
      <c r="L25" s="6"/>
      <c r="M25" s="7" t="e">
        <f t="shared" si="4"/>
        <v>#DIV/0!</v>
      </c>
    </row>
  </sheetData>
  <mergeCells count="3">
    <mergeCell ref="B4:I4"/>
    <mergeCell ref="B11:C11"/>
    <mergeCell ref="B18:M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7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C5" sqref="B5:C7"/>
    </sheetView>
  </sheetViews>
  <sheetFormatPr defaultColWidth="9" defaultRowHeight="14.4" outlineLevelRow="6"/>
  <cols>
    <col min="1" max="1" width="3" customWidth="1"/>
    <col min="2" max="2" width="12" customWidth="1"/>
    <col min="3" max="3" width="26" customWidth="1"/>
    <col min="4" max="7" width="16" customWidth="1"/>
    <col min="8" max="8" width="12" customWidth="1"/>
    <col min="9" max="9" width="16" customWidth="1"/>
  </cols>
  <sheetData>
    <row r="2" ht="18" customHeight="1" spans="2:9">
      <c r="B2" s="1" t="s">
        <v>231</v>
      </c>
    </row>
    <row r="4" spans="2:9">
      <c r="B4" s="2" t="s">
        <v>102</v>
      </c>
      <c r="C4" s="2" t="s">
        <v>103</v>
      </c>
      <c r="D4" s="2" t="s">
        <v>138</v>
      </c>
      <c r="E4" s="2" t="s">
        <v>139</v>
      </c>
      <c r="F4" s="2" t="s">
        <v>163</v>
      </c>
      <c r="G4" s="2" t="s">
        <v>164</v>
      </c>
      <c r="H4" s="2" t="s">
        <v>93</v>
      </c>
      <c r="I4" s="2" t="s">
        <v>230</v>
      </c>
    </row>
    <row r="5" spans="2:9">
      <c r="B5" s="10"/>
      <c r="C5" s="4"/>
      <c r="D5" s="5">
        <f>SUMIFS(tbl_jobs[Doanh_Thu],tbl_jobs[Sale],C5)</f>
        <v>0</v>
      </c>
      <c r="E5" s="5">
        <f>SUMIFS(tbl_jobs[Chi_Phi],tbl_jobs[Sale],C5)</f>
        <v>0</v>
      </c>
      <c r="F5" s="5">
        <f>SUMIFS(tbl_jobs[Profit],tbl_jobs[Sale],C5)</f>
        <v>0</v>
      </c>
      <c r="G5" s="5">
        <f>SUMIFS(tbl_jobs[Profit],tbl_jobs[Sale],C5,tbl_jobs[Paid_Status],"Paid")</f>
        <v>0</v>
      </c>
      <c r="H5" s="11">
        <f>rate_bo</f>
        <v>0.08</v>
      </c>
      <c r="I5" s="7">
        <f>ROUND(G5*H5,0)</f>
        <v>0</v>
      </c>
    </row>
    <row r="6" spans="2:9">
      <c r="B6" s="10"/>
      <c r="C6" s="4"/>
      <c r="D6" s="5">
        <f>SUMIFS(tbl_jobs[Doanh_Thu],tbl_jobs[Sale],C6)</f>
        <v>0</v>
      </c>
      <c r="E6" s="5">
        <f>SUMIFS(tbl_jobs[Chi_Phi],tbl_jobs[Sale],C6)</f>
        <v>0</v>
      </c>
      <c r="F6" s="5">
        <f>SUMIFS(tbl_jobs[Profit],tbl_jobs[Sale],C6)</f>
        <v>0</v>
      </c>
      <c r="G6" s="5">
        <f>SUMIFS(tbl_jobs[Profit],tbl_jobs[Sale],C6,tbl_jobs[Paid_Status],"Paid")</f>
        <v>0</v>
      </c>
      <c r="H6" s="11">
        <f>rate_bo</f>
        <v>0.08</v>
      </c>
      <c r="I6" s="7">
        <f>ROUND(G6*H6,0)</f>
        <v>0</v>
      </c>
    </row>
    <row r="7" spans="2:9">
      <c r="B7" s="10"/>
      <c r="C7" s="4"/>
      <c r="D7" s="5">
        <f>SUMIFS(tbl_jobs[Doanh_Thu],tbl_jobs[Sale],C7)</f>
        <v>0</v>
      </c>
      <c r="E7" s="5">
        <f>SUMIFS(tbl_jobs[Chi_Phi],tbl_jobs[Sale],C7)</f>
        <v>0</v>
      </c>
      <c r="F7" s="5">
        <f>SUMIFS(tbl_jobs[Profit],tbl_jobs[Sale],C7)</f>
        <v>0</v>
      </c>
      <c r="G7" s="5">
        <f>SUMIFS(tbl_jobs[Profit],tbl_jobs[Sale],C7,tbl_jobs[Paid_Status],"Paid")</f>
        <v>0</v>
      </c>
      <c r="H7" s="11">
        <f>rate_bo</f>
        <v>0.08</v>
      </c>
      <c r="I7" s="7">
        <f>ROUND(G7*H7,0)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0"/>
  <sheetViews>
    <sheetView showGridLines="0" workbookViewId="0">
      <pane xSplit="4" ySplit="4" topLeftCell="E5" activePane="bottomRight" state="frozen"/>
      <selection/>
      <selection pane="topRight"/>
      <selection pane="bottomLeft"/>
      <selection pane="bottomRight" activeCell="C5" sqref="C5:D19"/>
    </sheetView>
  </sheetViews>
  <sheetFormatPr defaultColWidth="9" defaultRowHeight="14.4"/>
  <cols>
    <col min="1" max="1" width="3" customWidth="1"/>
    <col min="2" max="2" width="5" customWidth="1"/>
    <col min="3" max="3" width="12" customWidth="1"/>
    <col min="4" max="4" width="26" customWidth="1"/>
    <col min="5" max="5" width="16" customWidth="1"/>
    <col min="6" max="6" width="15" customWidth="1"/>
    <col min="7" max="8" width="12" customWidth="1"/>
    <col min="9" max="11" width="14" customWidth="1"/>
    <col min="12" max="13" width="15" customWidth="1"/>
    <col min="14" max="15" width="14" customWidth="1"/>
    <col min="16" max="16" width="18" customWidth="1"/>
  </cols>
  <sheetData>
    <row r="2" ht="18" customHeight="1" spans="2:16">
      <c r="B2" s="1" t="s">
        <v>232</v>
      </c>
    </row>
    <row r="4" ht="28" customHeight="1" spans="2:16">
      <c r="B4" s="2" t="s">
        <v>2</v>
      </c>
      <c r="C4" s="2" t="s">
        <v>102</v>
      </c>
      <c r="D4" s="2" t="s">
        <v>103</v>
      </c>
      <c r="E4" s="2" t="s">
        <v>233</v>
      </c>
      <c r="F4" s="2" t="s">
        <v>234</v>
      </c>
      <c r="G4" s="2" t="s">
        <v>235</v>
      </c>
      <c r="H4" s="2" t="s">
        <v>236</v>
      </c>
      <c r="I4" s="2" t="s">
        <v>237</v>
      </c>
      <c r="J4" s="2" t="s">
        <v>238</v>
      </c>
      <c r="K4" s="2" t="s">
        <v>239</v>
      </c>
      <c r="L4" s="2" t="s">
        <v>240</v>
      </c>
      <c r="M4" s="2" t="s">
        <v>241</v>
      </c>
      <c r="N4" s="2" t="s">
        <v>242</v>
      </c>
      <c r="O4" s="2" t="s">
        <v>243</v>
      </c>
      <c r="P4" s="2" t="s">
        <v>244</v>
      </c>
    </row>
    <row r="5" spans="2:16">
      <c r="B5" s="3">
        <v>1</v>
      </c>
      <c r="C5" s="4"/>
      <c r="D5" s="4"/>
      <c r="E5" s="5">
        <f>IFERROR(VLOOKUP(D5,Calc_Sale!$C$5:$W$11,21,0),0)</f>
        <v>0</v>
      </c>
      <c r="F5" s="6">
        <v>0</v>
      </c>
      <c r="G5" s="6">
        <v>0</v>
      </c>
      <c r="H5" s="6">
        <v>0</v>
      </c>
      <c r="I5" s="6">
        <v>0</v>
      </c>
      <c r="J5" s="5">
        <f t="shared" ref="J5:J19" si="0">MAX(0,E5+F5+G5-H5-I5)</f>
        <v>0</v>
      </c>
      <c r="K5" s="5">
        <f>ROUND(IF(I5&gt;0,MAX(J5*{5,10,20,30,35}%-{0,500000,3500000,9500000,14500000},0),J5*10%),0)</f>
        <v>0</v>
      </c>
      <c r="L5" s="6">
        <v>0</v>
      </c>
      <c r="M5" s="6">
        <v>0</v>
      </c>
      <c r="N5" s="5">
        <f t="shared" ref="N5:N19" si="1">K5-L5-M5</f>
        <v>0</v>
      </c>
      <c r="O5" s="6">
        <v>0</v>
      </c>
      <c r="P5" s="7">
        <f t="shared" ref="P5:P19" si="2">ROUND(E5-N5+O5,0)</f>
        <v>0</v>
      </c>
    </row>
    <row r="6" spans="2:16">
      <c r="B6" s="3">
        <v>2</v>
      </c>
      <c r="C6" s="4"/>
      <c r="D6" s="4"/>
      <c r="E6" s="5">
        <f>IFERROR(VLOOKUP(D6,Calc_Sale!$C$5:$W$11,21,0),0)</f>
        <v>0</v>
      </c>
      <c r="F6" s="6">
        <v>0</v>
      </c>
      <c r="G6" s="6">
        <v>0</v>
      </c>
      <c r="H6" s="6">
        <v>0</v>
      </c>
      <c r="I6" s="6">
        <v>0</v>
      </c>
      <c r="J6" s="5">
        <f t="shared" si="0"/>
        <v>0</v>
      </c>
      <c r="K6" s="5">
        <f>ROUND(IF(I6&gt;0,MAX(J6*{5,10,20,30,35}%-{0,500000,3500000,9500000,14500000},0),J6*10%),0)</f>
        <v>0</v>
      </c>
      <c r="L6" s="6">
        <v>0</v>
      </c>
      <c r="M6" s="6">
        <v>0</v>
      </c>
      <c r="N6" s="5">
        <f t="shared" si="1"/>
        <v>0</v>
      </c>
      <c r="O6" s="6">
        <v>0</v>
      </c>
      <c r="P6" s="7">
        <f t="shared" si="2"/>
        <v>0</v>
      </c>
    </row>
    <row r="7" spans="2:16">
      <c r="B7" s="3">
        <v>3</v>
      </c>
      <c r="C7" s="4"/>
      <c r="D7" s="4"/>
      <c r="E7" s="5">
        <f>IFERROR(VLOOKUP(D7,Calc_Sale!$C$5:$W$11,21,0),0)</f>
        <v>0</v>
      </c>
      <c r="F7" s="6">
        <v>0</v>
      </c>
      <c r="G7" s="6">
        <v>0</v>
      </c>
      <c r="H7" s="6">
        <v>0</v>
      </c>
      <c r="I7" s="6">
        <v>0</v>
      </c>
      <c r="J7" s="5">
        <f t="shared" si="0"/>
        <v>0</v>
      </c>
      <c r="K7" s="5">
        <f>ROUND(IF(I7&gt;0,MAX(J7*{5,10,20,30,35}%-{0,500000,3500000,9500000,14500000},0),J7*10%),0)</f>
        <v>0</v>
      </c>
      <c r="L7" s="6">
        <v>0</v>
      </c>
      <c r="M7" s="6">
        <v>0</v>
      </c>
      <c r="N7" s="5">
        <f t="shared" si="1"/>
        <v>0</v>
      </c>
      <c r="O7" s="6">
        <v>0</v>
      </c>
      <c r="P7" s="7">
        <f t="shared" si="2"/>
        <v>0</v>
      </c>
    </row>
    <row r="8" spans="2:16">
      <c r="B8" s="3">
        <v>4</v>
      </c>
      <c r="C8" s="4"/>
      <c r="D8" s="4"/>
      <c r="E8" s="5">
        <f>IFERROR(VLOOKUP(D8,Calc_Sale!$C$5:$W$11,21,0),0)</f>
        <v>0</v>
      </c>
      <c r="F8" s="6">
        <v>0</v>
      </c>
      <c r="G8" s="6">
        <v>0</v>
      </c>
      <c r="H8" s="6">
        <v>0</v>
      </c>
      <c r="I8" s="6">
        <v>0</v>
      </c>
      <c r="J8" s="5">
        <f t="shared" si="0"/>
        <v>0</v>
      </c>
      <c r="K8" s="5">
        <f>ROUND(IF(I8&gt;0,MAX(J8*{5,10,20,30,35}%-{0,500000,3500000,9500000,14500000},0),J8*10%),0)</f>
        <v>0</v>
      </c>
      <c r="L8" s="6">
        <v>0</v>
      </c>
      <c r="M8" s="6">
        <v>0</v>
      </c>
      <c r="N8" s="5">
        <f t="shared" si="1"/>
        <v>0</v>
      </c>
      <c r="O8" s="6">
        <v>0</v>
      </c>
      <c r="P8" s="7">
        <f t="shared" si="2"/>
        <v>0</v>
      </c>
    </row>
    <row r="9" spans="2:16">
      <c r="B9" s="3">
        <v>5</v>
      </c>
      <c r="C9" s="4"/>
      <c r="D9" s="4"/>
      <c r="E9" s="5">
        <f>IFERROR(VLOOKUP(D9,Calc_Sale!$C$5:$W$11,21,0),0)</f>
        <v>0</v>
      </c>
      <c r="F9" s="6">
        <v>0</v>
      </c>
      <c r="G9" s="6">
        <v>0</v>
      </c>
      <c r="H9" s="6">
        <v>0</v>
      </c>
      <c r="I9" s="6">
        <v>0</v>
      </c>
      <c r="J9" s="5">
        <f t="shared" si="0"/>
        <v>0</v>
      </c>
      <c r="K9" s="5">
        <f>ROUND(IF(I9&gt;0,MAX(J9*{5,10,20,30,35}%-{0,500000,3500000,9500000,14500000},0),J9*10%),0)</f>
        <v>0</v>
      </c>
      <c r="L9" s="6">
        <v>0</v>
      </c>
      <c r="M9" s="6">
        <v>0</v>
      </c>
      <c r="N9" s="5">
        <f t="shared" si="1"/>
        <v>0</v>
      </c>
      <c r="O9" s="6">
        <v>0</v>
      </c>
      <c r="P9" s="7">
        <f t="shared" si="2"/>
        <v>0</v>
      </c>
    </row>
    <row r="10" spans="2:16">
      <c r="B10" s="3">
        <v>6</v>
      </c>
      <c r="C10" s="4"/>
      <c r="D10" s="4"/>
      <c r="E10" s="5">
        <f>IFERROR(VLOOKUP(D10,Calc_Sale!$C$5:$W$11,21,0),0)</f>
        <v>0</v>
      </c>
      <c r="F10" s="6">
        <v>0</v>
      </c>
      <c r="G10" s="6">
        <v>0</v>
      </c>
      <c r="H10" s="6">
        <v>0</v>
      </c>
      <c r="I10" s="6">
        <v>0</v>
      </c>
      <c r="J10" s="5">
        <f t="shared" si="0"/>
        <v>0</v>
      </c>
      <c r="K10" s="5">
        <f>ROUND(IF(I10&gt;0,MAX(J10*{5,10,20,30,35}%-{0,500000,3500000,9500000,14500000},0),J10*10%),0)</f>
        <v>0</v>
      </c>
      <c r="L10" s="6">
        <v>0</v>
      </c>
      <c r="M10" s="6">
        <v>0</v>
      </c>
      <c r="N10" s="5">
        <f t="shared" si="1"/>
        <v>0</v>
      </c>
      <c r="O10" s="6">
        <v>0</v>
      </c>
      <c r="P10" s="7">
        <f t="shared" si="2"/>
        <v>0</v>
      </c>
    </row>
    <row r="11" spans="2:16">
      <c r="B11" s="3">
        <v>7</v>
      </c>
      <c r="C11" s="4"/>
      <c r="D11" s="4"/>
      <c r="E11" s="5">
        <f>IFERROR(VLOOKUP(D11,Calc_Sale!$C$5:$W$11,21,0),0)</f>
        <v>0</v>
      </c>
      <c r="F11" s="6">
        <v>0</v>
      </c>
      <c r="G11" s="6">
        <v>0</v>
      </c>
      <c r="H11" s="6">
        <v>0</v>
      </c>
      <c r="I11" s="6">
        <v>0</v>
      </c>
      <c r="J11" s="5">
        <f t="shared" si="0"/>
        <v>0</v>
      </c>
      <c r="K11" s="5">
        <f>ROUND(IF(I11&gt;0,MAX(J11*{5,10,20,30,35}%-{0,500000,3500000,9500000,14500000},0),J11*10%),0)</f>
        <v>0</v>
      </c>
      <c r="L11" s="6">
        <v>0</v>
      </c>
      <c r="M11" s="6">
        <v>0</v>
      </c>
      <c r="N11" s="5">
        <f t="shared" si="1"/>
        <v>0</v>
      </c>
      <c r="O11" s="6">
        <v>0</v>
      </c>
      <c r="P11" s="7">
        <f t="shared" si="2"/>
        <v>0</v>
      </c>
    </row>
    <row r="12" spans="2:16">
      <c r="B12" s="3">
        <v>8</v>
      </c>
      <c r="C12" s="4"/>
      <c r="D12" s="4"/>
      <c r="E12" s="5">
        <f>IFERROR(VLOOKUP(D12,Calc_KAE!$C$1:$M$100,11,0),0)</f>
        <v>0</v>
      </c>
      <c r="F12" s="6">
        <v>0</v>
      </c>
      <c r="G12" s="6">
        <v>0</v>
      </c>
      <c r="H12" s="6">
        <v>0</v>
      </c>
      <c r="I12" s="6">
        <v>0</v>
      </c>
      <c r="J12" s="5">
        <f t="shared" si="0"/>
        <v>0</v>
      </c>
      <c r="K12" s="5">
        <f>ROUND(IF(I12&gt;0,MAX(J12*{5,10,20,30,35}%-{0,500000,3500000,9500000,14500000},0),J12*10%),0)</f>
        <v>0</v>
      </c>
      <c r="L12" s="6">
        <v>0</v>
      </c>
      <c r="M12" s="6">
        <v>0</v>
      </c>
      <c r="N12" s="5">
        <f t="shared" si="1"/>
        <v>0</v>
      </c>
      <c r="O12" s="6">
        <v>0</v>
      </c>
      <c r="P12" s="7">
        <f t="shared" si="2"/>
        <v>0</v>
      </c>
    </row>
    <row r="13" spans="2:16">
      <c r="B13" s="3">
        <v>9</v>
      </c>
      <c r="C13" s="4"/>
      <c r="D13" s="4"/>
      <c r="E13" s="5">
        <f>IFERROR(VLOOKUP(D13,Calc_KAE!$C$1:$M$100,11,0),0)+IFERROR(VLOOKUP(D13,Calc_Other!$C$5:$I$20,7,0),0)</f>
        <v>0</v>
      </c>
      <c r="F13" s="6">
        <v>0</v>
      </c>
      <c r="G13" s="6">
        <v>0</v>
      </c>
      <c r="H13" s="6">
        <v>0</v>
      </c>
      <c r="I13" s="6">
        <v>0</v>
      </c>
      <c r="J13" s="5">
        <f t="shared" si="0"/>
        <v>0</v>
      </c>
      <c r="K13" s="5">
        <f>ROUND(IF(I13&gt;0,MAX(J13*{5,10,20,30,35}%-{0,500000,3500000,9500000,14500000},0),J13*10%),0)</f>
        <v>0</v>
      </c>
      <c r="L13" s="6">
        <v>0</v>
      </c>
      <c r="M13" s="6">
        <v>0</v>
      </c>
      <c r="N13" s="5">
        <f t="shared" si="1"/>
        <v>0</v>
      </c>
      <c r="O13" s="6">
        <v>0</v>
      </c>
      <c r="P13" s="7">
        <f t="shared" si="2"/>
        <v>0</v>
      </c>
    </row>
    <row r="14" spans="2:16">
      <c r="B14" s="3">
        <v>10</v>
      </c>
      <c r="C14" s="4"/>
      <c r="D14" s="4"/>
      <c r="E14" s="5">
        <f>IFERROR(VLOOKUP(D14,Calc_KAE!$C$1:$M$100,11,0),0)</f>
        <v>0</v>
      </c>
      <c r="F14" s="6">
        <v>0</v>
      </c>
      <c r="G14" s="6">
        <v>0</v>
      </c>
      <c r="H14" s="6">
        <v>0</v>
      </c>
      <c r="I14" s="6">
        <v>0</v>
      </c>
      <c r="J14" s="5">
        <f t="shared" si="0"/>
        <v>0</v>
      </c>
      <c r="K14" s="5">
        <f>ROUND(IF(I14&gt;0,MAX(J14*{5,10,20,30,35}%-{0,500000,3500000,9500000,14500000},0),J14*10%),0)</f>
        <v>0</v>
      </c>
      <c r="L14" s="6">
        <v>0</v>
      </c>
      <c r="M14" s="6">
        <v>0</v>
      </c>
      <c r="N14" s="5">
        <f t="shared" si="1"/>
        <v>0</v>
      </c>
      <c r="O14" s="6">
        <v>0</v>
      </c>
      <c r="P14" s="7">
        <f t="shared" si="2"/>
        <v>0</v>
      </c>
    </row>
    <row r="15" spans="2:16">
      <c r="B15" s="3">
        <v>11</v>
      </c>
      <c r="C15" s="4"/>
      <c r="D15" s="4"/>
      <c r="E15" s="5">
        <f>IFERROR(VLOOKUP(D15,Calc_KAE!$C$1:$M$100,11,0),0)</f>
        <v>0</v>
      </c>
      <c r="F15" s="6">
        <v>0</v>
      </c>
      <c r="G15" s="6">
        <v>0</v>
      </c>
      <c r="H15" s="6">
        <v>0</v>
      </c>
      <c r="I15" s="6">
        <v>0</v>
      </c>
      <c r="J15" s="5">
        <f t="shared" si="0"/>
        <v>0</v>
      </c>
      <c r="K15" s="5">
        <f>ROUND(IF(I15&gt;0,MAX(J15*{5,10,20,30,35}%-{0,500000,3500000,9500000,14500000},0),J15*10%),0)</f>
        <v>0</v>
      </c>
      <c r="L15" s="6">
        <v>0</v>
      </c>
      <c r="M15" s="6">
        <v>0</v>
      </c>
      <c r="N15" s="5">
        <f t="shared" si="1"/>
        <v>0</v>
      </c>
      <c r="O15" s="6">
        <v>0</v>
      </c>
      <c r="P15" s="7">
        <f t="shared" si="2"/>
        <v>0</v>
      </c>
    </row>
    <row r="16" spans="2:16">
      <c r="B16" s="3">
        <v>12</v>
      </c>
      <c r="C16" s="4"/>
      <c r="D16" s="4"/>
      <c r="E16" s="5">
        <f>IFERROR(VLOOKUP(D16,Calc_KAE!$C$1:$M$100,11,0),0)</f>
        <v>0</v>
      </c>
      <c r="F16" s="6">
        <v>0</v>
      </c>
      <c r="G16" s="6">
        <v>0</v>
      </c>
      <c r="H16" s="6">
        <v>0</v>
      </c>
      <c r="I16" s="6">
        <v>0</v>
      </c>
      <c r="J16" s="5">
        <f t="shared" si="0"/>
        <v>0</v>
      </c>
      <c r="K16" s="5">
        <f>ROUND(IF(I16&gt;0,MAX(J16*{5,10,20,30,35}%-{0,500000,3500000,9500000,14500000},0),J16*10%),0)</f>
        <v>0</v>
      </c>
      <c r="L16" s="6">
        <v>0</v>
      </c>
      <c r="M16" s="6">
        <v>0</v>
      </c>
      <c r="N16" s="5">
        <f t="shared" si="1"/>
        <v>0</v>
      </c>
      <c r="O16" s="6">
        <v>0</v>
      </c>
      <c r="P16" s="7">
        <f t="shared" si="2"/>
        <v>0</v>
      </c>
    </row>
    <row r="17" spans="2:16">
      <c r="B17" s="3">
        <v>13</v>
      </c>
      <c r="C17" s="4"/>
      <c r="D17" s="4"/>
      <c r="E17" s="5">
        <f>IFERROR(VLOOKUP(D17,Calc_KAE!$C$1:$M$100,11,0),0)</f>
        <v>0</v>
      </c>
      <c r="F17" s="6">
        <v>0</v>
      </c>
      <c r="G17" s="6">
        <v>0</v>
      </c>
      <c r="H17" s="6">
        <v>0</v>
      </c>
      <c r="I17" s="6">
        <v>0</v>
      </c>
      <c r="J17" s="5">
        <f t="shared" si="0"/>
        <v>0</v>
      </c>
      <c r="K17" s="5">
        <f>ROUND(IF(I17&gt;0,MAX(J17*{5,10,20,30,35}%-{0,500000,3500000,9500000,14500000},0),J17*10%),0)</f>
        <v>0</v>
      </c>
      <c r="L17" s="6">
        <v>0</v>
      </c>
      <c r="M17" s="6">
        <v>0</v>
      </c>
      <c r="N17" s="5">
        <f t="shared" si="1"/>
        <v>0</v>
      </c>
      <c r="O17" s="6">
        <v>0</v>
      </c>
      <c r="P17" s="7">
        <f t="shared" si="2"/>
        <v>0</v>
      </c>
    </row>
    <row r="18" spans="2:16">
      <c r="B18" s="3">
        <v>14</v>
      </c>
      <c r="C18" s="4"/>
      <c r="D18" s="4"/>
      <c r="E18" s="5">
        <f>IFERROR(VLOOKUP(D18,Calc_Other!$C$5:$I$20,7,0),0)</f>
        <v>0</v>
      </c>
      <c r="F18" s="6">
        <v>0</v>
      </c>
      <c r="G18" s="6">
        <v>0</v>
      </c>
      <c r="H18" s="6">
        <v>0</v>
      </c>
      <c r="I18" s="6">
        <v>0</v>
      </c>
      <c r="J18" s="5">
        <f t="shared" si="0"/>
        <v>0</v>
      </c>
      <c r="K18" s="5">
        <f>ROUND(IF(I18&gt;0,MAX(J18*{5,10,20,30,35}%-{0,500000,3500000,9500000,14500000},0),J18*10%),0)</f>
        <v>0</v>
      </c>
      <c r="L18" s="6">
        <v>0</v>
      </c>
      <c r="M18" s="6">
        <v>0</v>
      </c>
      <c r="N18" s="5">
        <f t="shared" si="1"/>
        <v>0</v>
      </c>
      <c r="O18" s="6">
        <v>0</v>
      </c>
      <c r="P18" s="7">
        <f t="shared" si="2"/>
        <v>0</v>
      </c>
    </row>
    <row r="19" spans="2:16">
      <c r="B19" s="3">
        <v>15</v>
      </c>
      <c r="C19" s="4"/>
      <c r="D19" s="4"/>
      <c r="E19" s="5">
        <f>IFERROR(VLOOKUP(D19,Calc_Other!$C$5:$I$20,7,0),0)</f>
        <v>0</v>
      </c>
      <c r="F19" s="6">
        <v>0</v>
      </c>
      <c r="G19" s="6">
        <v>0</v>
      </c>
      <c r="H19" s="6">
        <v>0</v>
      </c>
      <c r="I19" s="6">
        <v>0</v>
      </c>
      <c r="J19" s="5">
        <f t="shared" si="0"/>
        <v>0</v>
      </c>
      <c r="K19" s="5">
        <f>ROUND(IF(I19&gt;0,MAX(J19*{5,10,20,30,35}%-{0,500000,3500000,9500000,14500000},0),J19*10%),0)</f>
        <v>0</v>
      </c>
      <c r="L19" s="6">
        <v>0</v>
      </c>
      <c r="M19" s="6">
        <v>0</v>
      </c>
      <c r="N19" s="5">
        <f t="shared" si="1"/>
        <v>0</v>
      </c>
      <c r="O19" s="6">
        <v>0</v>
      </c>
      <c r="P19" s="7">
        <f t="shared" si="2"/>
        <v>0</v>
      </c>
    </row>
    <row r="20" spans="2:16">
      <c r="B20" s="8"/>
      <c r="C20" s="8"/>
      <c r="D20" s="8" t="s">
        <v>245</v>
      </c>
      <c r="E20" s="9">
        <f>SUBTOTAL(9,E5:E19)</f>
        <v>0</v>
      </c>
      <c r="F20" s="9"/>
      <c r="G20" s="9"/>
      <c r="H20" s="9"/>
      <c r="I20" s="9"/>
      <c r="J20" s="9">
        <f>SUBTOTAL(9,J5:J19)</f>
        <v>0</v>
      </c>
      <c r="K20" s="9">
        <f>SUBTOTAL(9,K5:K19)</f>
        <v>0</v>
      </c>
      <c r="L20" s="9"/>
      <c r="M20" s="9"/>
      <c r="N20" s="9">
        <f>SUBTOTAL(9,N5:N19)</f>
        <v>0</v>
      </c>
      <c r="O20" s="9"/>
      <c r="P20" s="9">
        <f>SUBTOTAL(9,P5:P19)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Assumption</vt:lpstr>
      <vt:lpstr>Data</vt:lpstr>
      <vt:lpstr>Calc_Sale</vt:lpstr>
      <vt:lpstr>Calc_KAE</vt:lpstr>
      <vt:lpstr>Calc_Other</vt:lpstr>
      <vt:lpstr>Payout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TOAN</cp:lastModifiedBy>
  <dcterms:created xsi:type="dcterms:W3CDTF">2026-07-28T09:28:00Z</dcterms:created>
  <dcterms:modified xsi:type="dcterms:W3CDTF">2026-08-06T09:52:17Z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DE11015C71584B44BDE7E408B439AFBE_12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