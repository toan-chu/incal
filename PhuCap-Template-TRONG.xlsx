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4"/>
  </bookViews>
  <sheets>
    <sheet name="Assumption" sheetId="1" r:id="rId1"/>
    <sheet name="Data" sheetId="2" r:id="rId2"/>
    <sheet name="Calc_TrucDem" sheetId="3" r:id="rId3"/>
    <sheet name="Calc_OPS" sheetId="4" r:id="rId4"/>
    <sheet name="Payout" sheetId="5" r:id="rId5"/>
  </sheets>
  <definedNames>
    <definedName name="ky_ten">Assumption!$D$6</definedName>
    <definedName name="ky_bat_dau">Assumption!$D$7</definedName>
    <definedName name="ky_ket_thuc">Assumption!$D$8</definedName>
    <definedName name="loai_bang">Assumption!$D$9</definedName>
    <definedName name="gio_dem_bat_dau">Assumption!$D$13</definedName>
    <definedName name="gio_dem_ket_thuc">Assumption!$D$14</definedName>
    <definedName name="gio_loi_bat_dau">Assumption!$D$15</definedName>
    <definedName name="gio_loi_ket_thuc">Assumption!$D$16</definedName>
    <definedName name="moc_chia_ngay">Assumption!$D$17</definedName>
    <definedName name="moc_dem_tu">Assumption!$D$21</definedName>
    <definedName name="moc_loi_tu">Assumption!$D$22</definedName>
    <definedName name="moc_loi_den">Assumption!$D$23</definedName>
    <definedName name="moc_dem_den">Assumption!$D$24</definedName>
    <definedName name="kiem_tra_khung">Assumption!$D$25</definedName>
    <definedName name="rate_gio_bien">Assumption!$D$29</definedName>
    <definedName name="rate_gio_loi">Assumption!$D$30</definedName>
    <definedName name="he_so_le">Assumption!$D$31</definedName>
    <definedName name="bca_spark">Assumption!$D$35</definedName>
    <definedName name="bca_blaze">Assumption!$D$36</definedName>
    <definedName name="ops_0600_0800">Assumption!$D$40</definedName>
    <definedName name="ops_0800_1800">Assumption!$D$41</definedName>
    <definedName name="ops_1800_2200">Assumption!$D$42</definedName>
    <definedName name="ops_2200_0100">Assumption!$D$43</definedName>
    <definedName name="ops_0100_0600">Assumption!$D$44</definedName>
    <definedName name="ops_phu_troi_le">Assumption!$D$45</definedName>
    <definedName name="ops_kg_1nguoi">Assumption!$D$49</definedName>
    <definedName name="ops_nguoi_toi_da">Assumption!$D$50</definedName>
    <definedName name="giam_tru_ca_nhan_thang">Assumption!$D$54</definedName>
    <definedName name="giam_tru_phu_thuoc_thang">Assumption!$D$55</definedName>
    <definedName name="rate_khau_tru_vang_lai">Assumption!$D$56</definedName>
    <definedName name="thue_rate_1">Assumption!$C$60</definedName>
    <definedName name="thue_giam_1">Assumption!$D$60</definedName>
    <definedName name="thue_rate_2">Assumption!$C$61</definedName>
    <definedName name="thue_giam_2">Assumption!$D$61</definedName>
    <definedName name="thue_rate_3">Assumption!$C$62</definedName>
    <definedName name="thue_giam_3">Assumption!$D$62</definedName>
    <definedName name="thue_rate_4">Assumption!$C$63</definedName>
    <definedName name="thue_giam_4">Assumption!$D$63</definedName>
    <definedName name="thue_rate_5">Assumption!$C$64</definedName>
    <definedName name="thue_giam_5">Assumption!$D$64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<sst xmlns="http://schemas.openxmlformats.org/spreadsheetml/2006/main" count="432" uniqueCount="214">
  <si>
    <t>BẢNG THAM SỐ PHỤ CẤP TRỰC ĐÊM + OPS  —  Tháng 08/2026</t>
  </si>
  <si>
    <t>Ô nền VÀNG là nhập tay. Ô nền XÁM là tự tính, đừng gõ đè. Mọi giờ nhập theo hệ 24 giờ (22:30, 06:30) — không dùng AM/PM.</t>
  </si>
  <si>
    <t>1. KỲ TÍNH</t>
  </si>
  <si>
    <t>STT</t>
  </si>
  <si>
    <t>Mô tả</t>
  </si>
  <si>
    <t>Giá trị</t>
  </si>
  <si>
    <t>Đơn vị</t>
  </si>
  <si>
    <t>Ghi chú / Công thức</t>
  </si>
  <si>
    <t>Named Range</t>
  </si>
  <si>
    <t>Kỳ tính (tên)</t>
  </si>
  <si>
    <t>Tháng 08/2026</t>
  </si>
  <si>
    <t>text</t>
  </si>
  <si>
    <t>Nhãn kỳ báo cáo — công cụ HTML đọc ô này</t>
  </si>
  <si>
    <t>ky_ten</t>
  </si>
  <si>
    <t>Ngày bắt đầu</t>
  </si>
  <si>
    <t>date</t>
  </si>
  <si>
    <t/>
  </si>
  <si>
    <t>ky_bat_dau</t>
  </si>
  <si>
    <t>Ngày kết thúc</t>
  </si>
  <si>
    <t>ky_ket_thuc</t>
  </si>
  <si>
    <t>Loại bảng</t>
  </si>
  <si>
    <t>PHU_CAP</t>
  </si>
  <si>
    <t>Cờ nhận diện cho công cụ HTML. Không sửa</t>
  </si>
  <si>
    <t>loai_bang</t>
  </si>
  <si>
    <t>2. KHUNG GIỜ TRỰC ĐÊM  —  nhập hệ 24 giờ, không dùng AM/PM</t>
  </si>
  <si>
    <t>Khung ĐÊM bắt đầu</t>
  </si>
  <si>
    <t>giờ</t>
  </si>
  <si>
    <t>Đổi ô này là đổi chính sách. Mọi công thức tự bám theo, KHÔNG phải sửa gì thêm</t>
  </si>
  <si>
    <t>gio_dem_bat_dau</t>
  </si>
  <si>
    <t>Khung ĐÊM kết thúc (rạng sáng hôm sau)</t>
  </si>
  <si>
    <t>Ví dụ muốn trả tới 06:30 thì gõ 06:30 vào đây là xong</t>
  </si>
  <si>
    <t>gio_dem_ket_thuc</t>
  </si>
  <si>
    <t>Khung LÕI bắt đầu (đơn giá cao)</t>
  </si>
  <si>
    <t>Phải nằm trong khung đêm. Phần còn lại của khung đêm là khung BIÊN</t>
  </si>
  <si>
    <t>gio_loi_bat_dau</t>
  </si>
  <si>
    <t>Khung LÕI kết thúc</t>
  </si>
  <si>
    <t>gio_loi_ket_thuc</t>
  </si>
  <si>
    <t>Mốc chia ngày</t>
  </si>
  <si>
    <t>Giờ nhỏ hơn mốc này được hiểu là rạng sáng HÔM SAU. Để 12 là hợp lý cho mọi ca đêm</t>
  </si>
  <si>
    <t>moc_chia_ngay</t>
  </si>
  <si>
    <t>3. MỐC QUY ĐỔI  —  tự tính từ mục 2, KHÔNG sửa tay</t>
  </si>
  <si>
    <t>Trục: khung đêm bắt đầu</t>
  </si>
  <si>
    <t>moc_dem_tu</t>
  </si>
  <si>
    <t>Trục: khung lõi bắt đầu</t>
  </si>
  <si>
    <t>moc_loi_tu</t>
  </si>
  <si>
    <t>Trục: khung lõi kết thúc</t>
  </si>
  <si>
    <t>moc_loi_den</t>
  </si>
  <si>
    <t>Trục: khung đêm kết thúc</t>
  </si>
  <si>
    <t>moc_dem_den</t>
  </si>
  <si>
    <t>Kiểm tra khung giờ</t>
  </si>
  <si>
    <t>Phải hiện "Hợp lệ". Nếu báo LỖI thì xem lại 4 ô giờ ở mục 2</t>
  </si>
  <si>
    <t>kiem_tra_khung</t>
  </si>
  <si>
    <t>4. ĐƠN GIÁ PHỤ CẤP TRỰC ĐÊM</t>
  </si>
  <si>
    <t>Đơn giá khung BIÊN</t>
  </si>
  <si>
    <t>VND/giờ</t>
  </si>
  <si>
    <t>Phần khung đêm nằm ngoài khung lõi. Nguồn: phụ cấp trực đêm.docx mục 1</t>
  </si>
  <si>
    <t>rate_gio_bien</t>
  </si>
  <si>
    <t>Đơn giá khung LÕI</t>
  </si>
  <si>
    <t>Nguồn: phụ cấp trực đêm.docx mục 1</t>
  </si>
  <si>
    <t>rate_gio_loi</t>
  </si>
  <si>
    <t>Hệ số ngày lễ, Tết</t>
  </si>
  <si>
    <t>lần</t>
  </si>
  <si>
    <t>Ngày lễ = (Phụ cấp giờ × 1,5) + (BCA × 1,5). Áp cho CẢ hai khung giờ</t>
  </si>
  <si>
    <t>he_so_le</t>
  </si>
  <si>
    <t>5. THƯỞNG BCA THEO MỨC ĐỘ KHÓ</t>
  </si>
  <si>
    <t>BCA Spark (Mức 1) — ngày thường</t>
  </si>
  <si>
    <t>VND/ca</t>
  </si>
  <si>
    <t>Ca chỉ chạm khung biên 22–24 &amp; 04–06. Ngày lễ = × he_so_le</t>
  </si>
  <si>
    <t>bca_spark</t>
  </si>
  <si>
    <t>BCA Blaze (Mức 2) — ngày thường</t>
  </si>
  <si>
    <t>Ca chạm khung lõi 00–04. Mỗi ca chỉ hưởng MỘT mức, lấy mức cao nhất</t>
  </si>
  <si>
    <t>bca_blaze</t>
  </si>
  <si>
    <t>6. PHỤ CẤP OPS (theo giờ có mặt tại sân bay / cảng / ga)</t>
  </si>
  <si>
    <t>Khung 06:00 – 08:00</t>
  </si>
  <si>
    <t>VND/chuyến</t>
  </si>
  <si>
    <t>Nguồn: tính OPS và Overtime.docx mục 3</t>
  </si>
  <si>
    <t>ops_0600_0800</t>
  </si>
  <si>
    <t>Khung 08:00 – 18:00</t>
  </si>
  <si>
    <t>ops_0800_1800</t>
  </si>
  <si>
    <t>Khung 18:00 – 22:00</t>
  </si>
  <si>
    <t>ops_1800_2200</t>
  </si>
  <si>
    <t>Khung 22:00 – 01:00</t>
  </si>
  <si>
    <t>ops_2200_0100</t>
  </si>
  <si>
    <t>Khung 01:00 – 06:00</t>
  </si>
  <si>
    <t>ops_0100_0600</t>
  </si>
  <si>
    <t>Phụ trội ngày lễ, Tết</t>
  </si>
  <si>
    <t>Cộng thẳng, KHÔNG nhân he_so_le</t>
  </si>
  <si>
    <t>ops_phu_troi_le</t>
  </si>
  <si>
    <t>7. ĐỊNH BIÊN NHÂN SỰ THEO TRỌNG LƯỢNG LÔ HÀNG</t>
  </si>
  <si>
    <t>Ngưỡng 1 người (kg)</t>
  </si>
  <si>
    <t>kg</t>
  </si>
  <si>
    <t>0–30 kg dùng 1 người</t>
  </si>
  <si>
    <t>ops_kg_1nguoi</t>
  </si>
  <si>
    <t>Số người khi vượt ngưỡng</t>
  </si>
  <si>
    <t>người</t>
  </si>
  <si>
    <t>Từ 31 kg trở lên dùng 2 người</t>
  </si>
  <si>
    <t>ops_nguoi_toi_da</t>
  </si>
  <si>
    <t>8. THUẾ TNCN (kỳ THÁNG)</t>
  </si>
  <si>
    <t>Giảm trừ bản thân / tháng</t>
  </si>
  <si>
    <t>VND</t>
  </si>
  <si>
    <t>Áp khi nhân sự đăng ký giảm trừ tại công ty</t>
  </si>
  <si>
    <t>giam_tru_ca_nhan_thang</t>
  </si>
  <si>
    <t>Giảm trừ người phụ thuộc / tháng</t>
  </si>
  <si>
    <t>× số người phụ thuộc khai báo</t>
  </si>
  <si>
    <t>giam_tru_phu_thuoc_thang</t>
  </si>
  <si>
    <t>Tỷ lệ khấu trừ thu nhập vãng lai</t>
  </si>
  <si>
    <t>%</t>
  </si>
  <si>
    <t>Áp khi KHÔNG đăng ký giảm trừ — khấu trừ thẳng 10%</t>
  </si>
  <si>
    <t>rate_khau_tru_vang_lai</t>
  </si>
  <si>
    <t>8. BẬC THUẾ TNCN LŨY TIẾN (quy đổi kỳ THÁNG)</t>
  </si>
  <si>
    <t>Bậc</t>
  </si>
  <si>
    <t>Thuế suất</t>
  </si>
  <si>
    <t>Giảm trừ nhanh (VND)</t>
  </si>
  <si>
    <t>Named Range (suất)</t>
  </si>
  <si>
    <t>Named Range (giảm trừ)</t>
  </si>
  <si>
    <t>thue_rate_1</t>
  </si>
  <si>
    <t>thue_giam_1</t>
  </si>
  <si>
    <t>thue_rate_2</t>
  </si>
  <si>
    <t>thue_giam_2</t>
  </si>
  <si>
    <t>thue_rate_3</t>
  </si>
  <si>
    <t>thue_giam_3</t>
  </si>
  <si>
    <t>thue_rate_4</t>
  </si>
  <si>
    <t>thue_giam_4</t>
  </si>
  <si>
    <t>thue_rate_5</t>
  </si>
  <si>
    <t>thue_giam_5</t>
  </si>
  <si>
    <t>⚠ MỞ CHO FIN DUYỆT: bộ giảm trừ nhanh gốc là của kỳ QUÝ (0 / 500.000 / 3.500.000 / 9.500.000 / 14.500.000). Bảng này đã chia 3 để về kỳ THÁNG. FIN xác nhận lại trước khi chi.</t>
  </si>
  <si>
    <t>9. DANH SÁCH NHÂN SỰ THAM GIA TRỰC / OPS</t>
  </si>
  <si>
    <t>Ma_NV</t>
  </si>
  <si>
    <t>Ho_Ten</t>
  </si>
  <si>
    <t>Bo_Phan</t>
  </si>
  <si>
    <t>So_Phu_Thuoc</t>
  </si>
  <si>
    <t>Dang_Ky_Giam_Tru</t>
  </si>
  <si>
    <t>BHXH_Thang</t>
  </si>
  <si>
    <t>Ghi_Chu</t>
  </si>
  <si>
    <t>TTN22.005</t>
  </si>
  <si>
    <t>Phạm Thị Thương Hoài</t>
  </si>
  <si>
    <t>COM</t>
  </si>
  <si>
    <t>Có</t>
  </si>
  <si>
    <t>TTN24.006</t>
  </si>
  <si>
    <t>Trần Văn Hiếu</t>
  </si>
  <si>
    <t>TTN25.001</t>
  </si>
  <si>
    <t>Lê Thị Hằng</t>
  </si>
  <si>
    <t>TTN25.005</t>
  </si>
  <si>
    <t>Kim Thanh Thư</t>
  </si>
  <si>
    <t>TTN25.010</t>
  </si>
  <si>
    <t>Nguyễn Duy Tân</t>
  </si>
  <si>
    <t>Không</t>
  </si>
  <si>
    <t>Thu nhập vãng lai — khấu trừ 10%</t>
  </si>
  <si>
    <t>TTN25.007</t>
  </si>
  <si>
    <t>Nguyễn Gia Bảo</t>
  </si>
  <si>
    <t>TTN25.008</t>
  </si>
  <si>
    <t>Nguyễn Thị Vân Anh</t>
  </si>
  <si>
    <t>KAE</t>
  </si>
  <si>
    <t>TTN22.007</t>
  </si>
  <si>
    <t>Võ Lê Huyền Trân</t>
  </si>
  <si>
    <t>KAE_BO</t>
  </si>
  <si>
    <t>TTN24.005</t>
  </si>
  <si>
    <t>Lê Ngọc Cẩm Tú</t>
  </si>
  <si>
    <t>TTN25.003</t>
  </si>
  <si>
    <t>Hoàng Nguyễn Tường Vi</t>
  </si>
  <si>
    <t>TTN25.014</t>
  </si>
  <si>
    <t>Phan Thị Kiều Trang</t>
  </si>
  <si>
    <t>Chính thức 01/03 — chưa đăng ký</t>
  </si>
  <si>
    <t>TTN25.011</t>
  </si>
  <si>
    <t>Trần Tất Đạt</t>
  </si>
  <si>
    <t>NHẬT KÝ CA TRỰC ĐÊM &amp; CHUYẾN OPS  —  Tháng 08/2026</t>
  </si>
  <si>
    <t>Mỗi dòng là MỘT ca. Loai_Ca = TRUC_DEM (trực từ xa) hoặc OPS (có mặt tại sân bay/cảng/ga xử lý lô OBC, PET, CFS). Cột vàng nhập tay, cột còn lại là công thức.  ·  GIỜ NHẬP THEO HỆ 24 GIỜ: 22:30 · 02:30 · 06:30 — không dùng AM/PM.  ·  Ca qua đêm cứ nhập bình thường, công thức tự hiểu giờ kết thúc là rạng sáng hôm sau.</t>
  </si>
  <si>
    <t>Ngay</t>
  </si>
  <si>
    <t>Loai_Ca</t>
  </si>
  <si>
    <t>Loai_Ngay</t>
  </si>
  <si>
    <t>Gio_Bat_Dau</t>
  </si>
  <si>
    <t>Gio_Ket_Thuc</t>
  </si>
  <si>
    <t>Ma_Job</t>
  </si>
  <si>
    <t>Trong_Luong_Kg</t>
  </si>
  <si>
    <t>So_Nhan_Su</t>
  </si>
  <si>
    <t>Backup_Nhan_Ca</t>
  </si>
  <si>
    <t>Gio_BD_Chuan</t>
  </si>
  <si>
    <t>Gio_KT_Chuan</t>
  </si>
  <si>
    <t>Gio_Bien</t>
  </si>
  <si>
    <t>Gio_Loi</t>
  </si>
  <si>
    <t>Tong_Gio</t>
  </si>
  <si>
    <t>Muc_BCA</t>
  </si>
  <si>
    <t>PC_Gio</t>
  </si>
  <si>
    <t>Thuong_BCA</t>
  </si>
  <si>
    <t>PC_TrucDem</t>
  </si>
  <si>
    <t>Phi_OPS</t>
  </si>
  <si>
    <t>Tong_Dong</t>
  </si>
  <si>
    <t>NS_Chuan</t>
  </si>
  <si>
    <t>Canh_Bao</t>
  </si>
  <si>
    <t>TỔNG HỢP PHỤ CẤP TRỰC ĐÊM THEO NGƯỜI  —  Tháng 08/2026</t>
  </si>
  <si>
    <t>So_Ca</t>
  </si>
  <si>
    <t>So_Ca_Le</t>
  </si>
  <si>
    <t>Ca_Spark</t>
  </si>
  <si>
    <t>Ca_Blaze</t>
  </si>
  <si>
    <t>Tong_PC_TrucDem</t>
  </si>
  <si>
    <t>TỔNG</t>
  </si>
  <si>
    <t>TỔNG HỢP PHỤ CẤP OPS THEO NGƯỜI  —  Tháng 08/2026</t>
  </si>
  <si>
    <t>So_Chuyen</t>
  </si>
  <si>
    <t>So_Chuyen_Le</t>
  </si>
  <si>
    <t>Tong_KG</t>
  </si>
  <si>
    <t>Chuyen_Can_2NS</t>
  </si>
  <si>
    <t>BẢNG CHI PHỤ CẤP + THUẾ TNCN  —  Tháng 08/2026</t>
  </si>
  <si>
    <t>So_Ca_Truc</t>
  </si>
  <si>
    <t>So_Chuyen_OPS</t>
  </si>
  <si>
    <t>Tong_PC_Gross</t>
  </si>
  <si>
    <t>Cach_Tinh_Thue</t>
  </si>
  <si>
    <t>BHXH</t>
  </si>
  <si>
    <t>Giam_Tru_Ap_Dung</t>
  </si>
  <si>
    <t>TN_Chiu_Thue</t>
  </si>
  <si>
    <t>Thue_TNCN</t>
  </si>
  <si>
    <t>Cong_Tru_Khac</t>
  </si>
  <si>
    <t>PC_Thuc_Nhan</t>
  </si>
  <si>
    <t>TOTAL</t>
  </si>
  <si>
    <t>Cách tính thuế · "Gộp bảng lương" = nhân sự đã đăng ký giảm trừ gia cảnh tại công ty, phụ cấp được cộng vào thu nhập tháng và quyết toán lũy tiến trên BẢNG LƯƠNG — bảng này để thuế = 0 để tránh tính hai lần. · "Khấu trừ 10%" = thu nhập vãng lai, khấu trừ ngay tại đây. · Chỉ nhập Giam_Tru_Ap_Dung khi bảng phụ cấp này là NGUỒN THU NHẬP DUY NHẤT của nhân sự trong tháng.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</si>
</sst>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  <numFmt numFmtId="179" formatCode="hh:mm"/>
    <numFmt numFmtId="180" formatCode="0.0"/>
  </numFmts>
  <fonts count="29">
    <font>
      <sz val="11"/>
      <color theme="1"/>
      <name val="Calibri"/>
      <charset val="134"/>
      <scheme val="minor"/>
    </font>
    <font>
      <b/>
      <sz val="14"/>
      <color rgb="FFFF6200"/>
      <name val="Roboto"/>
      <charset val="134"/>
    </font>
    <font>
      <b/>
      <sz val="11"/>
      <color rgb="FFFFFFFF"/>
      <name val="Roboto"/>
      <charset val="134"/>
    </font>
    <font>
      <sz val="11"/>
      <name val="Calibri"/>
      <charset val="134"/>
    </font>
    <font>
      <b/>
      <sz val="11"/>
      <name val="Calibri"/>
      <charset val="134"/>
    </font>
    <font>
      <b/>
      <sz val="11"/>
      <color rgb="FFFF6200"/>
      <name val="Calibri"/>
      <charset val="134"/>
    </font>
    <font>
      <i/>
      <sz val="10"/>
      <color rgb="FF787284"/>
      <name val="Calibri"/>
      <charset val="134"/>
    </font>
    <font>
      <b/>
      <sz val="14"/>
      <color rgb="FF4D148C"/>
      <name val="Roboto"/>
      <charset val="134"/>
    </font>
    <font>
      <b/>
      <sz val="12"/>
      <color rgb="FF4D148C"/>
      <name val="Robo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6200"/>
        <bgColor rgb="FFFF6200"/>
      </patternFill>
    </fill>
    <fill>
      <patternFill patternType="solid">
        <fgColor rgb="FFFFF2CC"/>
        <bgColor rgb="FFFFF2CC"/>
      </patternFill>
    </fill>
    <fill>
      <patternFill patternType="solid">
        <fgColor rgb="FF4D148C"/>
        <bgColor rgb="FF4D148C"/>
      </patternFill>
    </fill>
    <fill>
      <patternFill patternType="solid">
        <fgColor rgb="FFF2F0F7"/>
        <bgColor rgb="FFF2F0F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37">
    <xf numFmtId="0" fontId="0" fillId="0" borderId="0" xfId="0"/>
    <xf numFmtId="0" fontId="0" fillId="0" borderId="0" xfId="0" applyAlignment="1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3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3" fillId="3" borderId="1" xfId="0" applyNumberFormat="1" applyFont="1" applyFill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78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9" fontId="3" fillId="3" borderId="1" xfId="0" applyNumberFormat="1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178" fontId="4" fillId="3" borderId="1" xfId="0" applyNumberFormat="1" applyFont="1" applyFill="1" applyBorder="1" applyAlignment="1">
      <alignment horizontal="left" vertical="center"/>
    </xf>
    <xf numFmtId="179" fontId="4" fillId="3" borderId="1" xfId="0" applyNumberFormat="1" applyFont="1" applyFill="1" applyBorder="1" applyAlignment="1">
      <alignment horizontal="left" vertical="center"/>
    </xf>
    <xf numFmtId="1" fontId="4" fillId="3" borderId="1" xfId="0" applyNumberFormat="1" applyFont="1" applyFill="1" applyBorder="1" applyAlignment="1">
      <alignment horizontal="left" vertical="center"/>
    </xf>
    <xf numFmtId="2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3" fontId="4" fillId="3" borderId="1" xfId="0" applyNumberFormat="1" applyFont="1" applyFill="1" applyBorder="1" applyAlignment="1">
      <alignment horizontal="left" vertical="center"/>
    </xf>
    <xf numFmtId="180" fontId="4" fillId="3" borderId="1" xfId="0" applyNumberFormat="1" applyFont="1" applyFill="1" applyBorder="1" applyAlignment="1">
      <alignment horizontal="left" vertical="center"/>
    </xf>
    <xf numFmtId="10" fontId="4" fillId="3" borderId="1" xfId="0" applyNumberFormat="1" applyFont="1" applyFill="1" applyBorder="1" applyAlignment="1">
      <alignment horizontal="left" vertical="center"/>
    </xf>
    <xf numFmtId="10" fontId="4" fillId="3" borderId="1" xfId="0" applyNumberFormat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bl_staff_pc" displayName="tbl_staff_pc" ref="B68:H80">
  <autoFilter xmlns:etc="http://www.wps.cn/officeDocument/2017/etCustomData" ref="B68:H80" etc:filterBottomFollowUsedRange="0"/>
  <tableColumns count="7">
    <tableColumn id="2" name="Ma_NV"/>
    <tableColumn id="3" name="Ho_Ten"/>
    <tableColumn id="4" name="Bo_Phan"/>
    <tableColumn id="5" name="So_Phu_Thuoc"/>
    <tableColumn id="6" name="Dang_Ky_Giam_Tru"/>
    <tableColumn id="7" name="BHXH_Thang"/>
    <tableColumn id="8" name="Ghi_Chu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bl_shifts" displayName="tbl_shifts" ref="B5:AA125">
  <autoFilter xmlns:etc="http://www.wps.cn/officeDocument/2017/etCustomData" ref="B5:AA125" etc:filterBottomFollowUsedRange="0"/>
  <tableColumns count="26">
    <tableColumn id="2" name="STT"/>
    <tableColumn id="3" name="Ngay"/>
    <tableColumn id="4" name="Ma_NV"/>
    <tableColumn id="5" name="Ho_Ten"/>
    <tableColumn id="6" name="Loai_Ca"/>
    <tableColumn id="7" name="Loai_Ngay"/>
    <tableColumn id="8" name="Gio_Bat_Dau"/>
    <tableColumn id="9" name="Gio_Ket_Thuc"/>
    <tableColumn id="10" name="Ma_Job"/>
    <tableColumn id="11" name="Trong_Luong_Kg"/>
    <tableColumn id="12" name="So_Nhan_Su"/>
    <tableColumn id="13" name="Backup_Nhan_Ca"/>
    <tableColumn id="14" name="Gio_BD_Chuan"/>
    <tableColumn id="15" name="Gio_KT_Chuan"/>
    <tableColumn id="16" name="Gio_Bien"/>
    <tableColumn id="17" name="Gio_Loi"/>
    <tableColumn id="18" name="Tong_Gio"/>
    <tableColumn id="19" name="Muc_BCA"/>
    <tableColumn id="20" name="PC_Gio"/>
    <tableColumn id="21" name="Thuong_BCA"/>
    <tableColumn id="22" name="PC_TrucDem"/>
    <tableColumn id="23" name="Phi_OPS"/>
    <tableColumn id="24" name="Tong_Dong"/>
    <tableColumn id="25" name="NS_Chuan"/>
    <tableColumn id="26" name="Canh_Bao"/>
    <tableColumn id="27" name="Ghi_Chu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80"/>
  <sheetViews>
    <sheetView workbookViewId="0">
      <pane ySplit="6" topLeftCell="A7" activePane="bottomLeft" state="frozen"/>
      <selection/>
      <selection pane="bottomLeft" activeCell="D6" sqref="D6"/>
    </sheetView>
  </sheetViews>
  <sheetFormatPr defaultColWidth="9" defaultRowHeight="14.4" outlineLevelCol="7"/>
  <cols>
    <col min="1" max="1" width="3" style="1" customWidth="1"/>
    <col min="2" max="2" width="12" style="1" customWidth="1"/>
    <col min="3" max="3" width="46" style="1" customWidth="1"/>
    <col min="4" max="4" width="18" style="1" customWidth="1"/>
    <col min="5" max="5" width="13" style="1" customWidth="1"/>
    <col min="6" max="6" width="56" style="1" customWidth="1"/>
    <col min="7" max="7" width="24" style="1" customWidth="1"/>
    <col min="8" max="8" width="30" style="1" customWidth="1"/>
    <col min="9" max="16384" width="9" style="1"/>
  </cols>
  <sheetData>
    <row r="2" ht="17.4" spans="2:7">
      <c r="B2" s="13" t="s">
        <v>0</v>
      </c>
    </row>
    <row r="3" spans="2:7">
      <c r="B3" s="12" t="s">
        <v>1</v>
      </c>
    </row>
    <row r="4" ht="15.6" spans="2:7">
      <c r="B4" s="25" t="s">
        <v>2</v>
      </c>
    </row>
    <row r="5" spans="2:7">
      <c r="B5" s="14" t="s">
        <v>3</v>
      </c>
      <c r="C5" s="14" t="s">
        <v>4</v>
      </c>
      <c r="D5" s="14" t="s">
        <v>5</v>
      </c>
      <c r="E5" s="14" t="s">
        <v>6</v>
      </c>
      <c r="F5" s="14" t="s">
        <v>7</v>
      </c>
      <c r="G5" s="14" t="s">
        <v>8</v>
      </c>
    </row>
    <row r="6" spans="2:7">
      <c r="B6" s="4">
        <v>1</v>
      </c>
      <c r="C6" s="15" t="s">
        <v>9</v>
      </c>
      <c r="D6" s="26" t="s">
        <v>10</v>
      </c>
      <c r="E6" s="4" t="s">
        <v>11</v>
      </c>
      <c r="F6" s="15" t="s">
        <v>12</v>
      </c>
      <c r="G6" s="15" t="s">
        <v>13</v>
      </c>
    </row>
    <row r="7" spans="2:7">
      <c r="B7" s="4">
        <v>2</v>
      </c>
      <c r="C7" s="15" t="s">
        <v>14</v>
      </c>
      <c r="D7" s="27">
        <v>46235</v>
      </c>
      <c r="E7" s="4" t="s">
        <v>15</v>
      </c>
      <c r="F7" s="15" t="s">
        <v>16</v>
      </c>
      <c r="G7" s="15" t="s">
        <v>17</v>
      </c>
    </row>
    <row r="8" spans="2:7">
      <c r="B8" s="4">
        <v>3</v>
      </c>
      <c r="C8" s="15" t="s">
        <v>18</v>
      </c>
      <c r="D8" s="27">
        <v>46265</v>
      </c>
      <c r="E8" s="4" t="s">
        <v>15</v>
      </c>
      <c r="F8" s="15" t="s">
        <v>16</v>
      </c>
      <c r="G8" s="15" t="s">
        <v>19</v>
      </c>
    </row>
    <row r="9" spans="2:7">
      <c r="B9" s="4">
        <v>4</v>
      </c>
      <c r="C9" s="15" t="s">
        <v>20</v>
      </c>
      <c r="D9" s="26" t="s">
        <v>21</v>
      </c>
      <c r="E9" s="4" t="s">
        <v>11</v>
      </c>
      <c r="F9" s="15" t="s">
        <v>22</v>
      </c>
      <c r="G9" s="15" t="s">
        <v>23</v>
      </c>
    </row>
    <row r="11" ht="15.6" spans="2:7">
      <c r="B11" s="25" t="s">
        <v>24</v>
      </c>
    </row>
    <row r="12" spans="2:7">
      <c r="B12" s="14" t="s">
        <v>3</v>
      </c>
      <c r="C12" s="14" t="s">
        <v>4</v>
      </c>
      <c r="D12" s="14" t="s">
        <v>5</v>
      </c>
      <c r="E12" s="14" t="s">
        <v>6</v>
      </c>
      <c r="F12" s="14" t="s">
        <v>7</v>
      </c>
      <c r="G12" s="14" t="s">
        <v>8</v>
      </c>
    </row>
    <row r="13" spans="2:7">
      <c r="B13" s="4">
        <v>1</v>
      </c>
      <c r="C13" s="15" t="s">
        <v>25</v>
      </c>
      <c r="D13" s="28">
        <v>0.916666666666667</v>
      </c>
      <c r="E13" s="4" t="s">
        <v>26</v>
      </c>
      <c r="F13" s="15" t="s">
        <v>27</v>
      </c>
      <c r="G13" s="15" t="s">
        <v>28</v>
      </c>
    </row>
    <row r="14" spans="2:7">
      <c r="B14" s="4">
        <v>2</v>
      </c>
      <c r="C14" s="15" t="s">
        <v>29</v>
      </c>
      <c r="D14" s="28">
        <v>0.25</v>
      </c>
      <c r="E14" s="4" t="s">
        <v>26</v>
      </c>
      <c r="F14" s="15" t="s">
        <v>30</v>
      </c>
      <c r="G14" s="15" t="s">
        <v>31</v>
      </c>
    </row>
    <row r="15" spans="2:7">
      <c r="B15" s="4">
        <v>3</v>
      </c>
      <c r="C15" s="15" t="s">
        <v>32</v>
      </c>
      <c r="D15" s="28">
        <v>0</v>
      </c>
      <c r="E15" s="4" t="s">
        <v>26</v>
      </c>
      <c r="F15" s="15" t="s">
        <v>33</v>
      </c>
      <c r="G15" s="15" t="s">
        <v>34</v>
      </c>
    </row>
    <row r="16" spans="2:7">
      <c r="B16" s="4">
        <v>4</v>
      </c>
      <c r="C16" s="15" t="s">
        <v>35</v>
      </c>
      <c r="D16" s="28">
        <v>0.166666666666667</v>
      </c>
      <c r="E16" s="4" t="s">
        <v>26</v>
      </c>
      <c r="F16" s="15" t="s">
        <v>16</v>
      </c>
      <c r="G16" s="15" t="s">
        <v>36</v>
      </c>
    </row>
    <row r="17" spans="2:7">
      <c r="B17" s="4">
        <v>5</v>
      </c>
      <c r="C17" s="15" t="s">
        <v>37</v>
      </c>
      <c r="D17" s="29">
        <v>12</v>
      </c>
      <c r="E17" s="4" t="s">
        <v>26</v>
      </c>
      <c r="F17" s="15" t="s">
        <v>38</v>
      </c>
      <c r="G17" s="15" t="s">
        <v>39</v>
      </c>
    </row>
    <row r="19" ht="15.6" spans="2:7">
      <c r="B19" s="25" t="s">
        <v>40</v>
      </c>
    </row>
    <row r="20" spans="2:7">
      <c r="B20" s="14" t="s">
        <v>3</v>
      </c>
      <c r="C20" s="14" t="s">
        <v>4</v>
      </c>
      <c r="D20" s="14" t="s">
        <v>5</v>
      </c>
      <c r="E20" s="14" t="s">
        <v>6</v>
      </c>
      <c r="F20" s="14" t="s">
        <v>7</v>
      </c>
      <c r="G20" s="14" t="s">
        <v>8</v>
      </c>
    </row>
    <row r="21" spans="2:7">
      <c r="B21" s="4">
        <v>1</v>
      </c>
      <c r="C21" s="15" t="s">
        <v>41</v>
      </c>
      <c r="D21" s="30">
        <f>(HOUR(gio_dem_bat_dau)+MINUTE(gio_dem_bat_dau)/60)+IF((HOUR(gio_dem_bat_dau)+MINUTE(gio_dem_bat_dau)/60)&lt;moc_chia_ngay,24,0)</f>
        <v>22</v>
      </c>
      <c r="E21" s="4" t="s">
        <v>26</v>
      </c>
      <c r="F21" s="15"/>
      <c r="G21" s="15" t="s">
        <v>42</v>
      </c>
    </row>
    <row r="22" spans="2:7">
      <c r="B22" s="4">
        <v>2</v>
      </c>
      <c r="C22" s="15" t="s">
        <v>43</v>
      </c>
      <c r="D22" s="30">
        <f>(HOUR(gio_loi_bat_dau)+MINUTE(gio_loi_bat_dau)/60)+IF((HOUR(gio_loi_bat_dau)+MINUTE(gio_loi_bat_dau)/60)&lt;moc_chia_ngay,24,0)</f>
        <v>24</v>
      </c>
      <c r="E22" s="4" t="s">
        <v>26</v>
      </c>
      <c r="F22" s="15" t="s">
        <v>16</v>
      </c>
      <c r="G22" s="15" t="s">
        <v>44</v>
      </c>
    </row>
    <row r="23" spans="2:7">
      <c r="B23" s="4">
        <v>3</v>
      </c>
      <c r="C23" s="15" t="s">
        <v>45</v>
      </c>
      <c r="D23" s="30">
        <f>(HOUR(gio_loi_ket_thuc)+MINUTE(gio_loi_ket_thuc)/60)+IF((HOUR(gio_loi_ket_thuc)+MINUTE(gio_loi_ket_thuc)/60)&lt;moc_chia_ngay,24,0)</f>
        <v>28</v>
      </c>
      <c r="E23" s="4" t="s">
        <v>26</v>
      </c>
      <c r="F23" s="15" t="s">
        <v>16</v>
      </c>
      <c r="G23" s="15" t="s">
        <v>46</v>
      </c>
    </row>
    <row r="24" spans="2:7">
      <c r="B24" s="4">
        <v>4</v>
      </c>
      <c r="C24" s="15" t="s">
        <v>47</v>
      </c>
      <c r="D24" s="30">
        <f>(HOUR(gio_dem_ket_thuc)+MINUTE(gio_dem_ket_thuc)/60)+IF((HOUR(gio_dem_ket_thuc)+MINUTE(gio_dem_ket_thuc)/60)&lt;moc_chia_ngay,24,0)</f>
        <v>30</v>
      </c>
      <c r="E24" s="4" t="s">
        <v>26</v>
      </c>
      <c r="F24" s="15" t="s">
        <v>16</v>
      </c>
      <c r="G24" s="15" t="s">
        <v>48</v>
      </c>
    </row>
    <row r="25" spans="2:7">
      <c r="B25" s="4">
        <v>5</v>
      </c>
      <c r="C25" s="15" t="s">
        <v>49</v>
      </c>
      <c r="D25" s="31" t="str">
        <f>IF(AND(moc_dem_tu&lt;moc_loi_tu,moc_loi_tu&lt;moc_loi_den,moc_loi_den&lt;moc_dem_den),"Hợp lệ","LỖI: khung LÕI phải nằm gọn trong khung ĐÊM")</f>
        <v>Hợp lệ</v>
      </c>
      <c r="E25" s="4" t="s">
        <v>16</v>
      </c>
      <c r="F25" s="15" t="s">
        <v>50</v>
      </c>
      <c r="G25" s="15" t="s">
        <v>51</v>
      </c>
    </row>
    <row r="27" ht="15.6" spans="2:7">
      <c r="B27" s="25" t="s">
        <v>52</v>
      </c>
    </row>
    <row r="28" spans="2:7">
      <c r="B28" s="14" t="s">
        <v>3</v>
      </c>
      <c r="C28" s="14" t="s">
        <v>4</v>
      </c>
      <c r="D28" s="14" t="s">
        <v>5</v>
      </c>
      <c r="E28" s="14" t="s">
        <v>6</v>
      </c>
      <c r="F28" s="14" t="s">
        <v>7</v>
      </c>
      <c r="G28" s="14" t="s">
        <v>8</v>
      </c>
    </row>
    <row r="29" spans="2:7">
      <c r="B29" s="4">
        <v>1</v>
      </c>
      <c r="C29" s="15" t="s">
        <v>53</v>
      </c>
      <c r="D29" s="32">
        <v>30000</v>
      </c>
      <c r="E29" s="4" t="s">
        <v>54</v>
      </c>
      <c r="F29" s="15" t="s">
        <v>55</v>
      </c>
      <c r="G29" s="15" t="s">
        <v>56</v>
      </c>
    </row>
    <row r="30" spans="2:7">
      <c r="B30" s="4">
        <v>2</v>
      </c>
      <c r="C30" s="15" t="s">
        <v>57</v>
      </c>
      <c r="D30" s="32">
        <v>50000</v>
      </c>
      <c r="E30" s="4" t="s">
        <v>54</v>
      </c>
      <c r="F30" s="15" t="s">
        <v>58</v>
      </c>
      <c r="G30" s="15" t="s">
        <v>59</v>
      </c>
    </row>
    <row r="31" spans="2:7">
      <c r="B31" s="4">
        <v>3</v>
      </c>
      <c r="C31" s="15" t="s">
        <v>60</v>
      </c>
      <c r="D31" s="33">
        <v>1.5</v>
      </c>
      <c r="E31" s="4" t="s">
        <v>61</v>
      </c>
      <c r="F31" s="15" t="s">
        <v>62</v>
      </c>
      <c r="G31" s="15" t="s">
        <v>63</v>
      </c>
    </row>
    <row r="33" ht="15.6" spans="2:7">
      <c r="B33" s="25" t="s">
        <v>64</v>
      </c>
    </row>
    <row r="34" spans="2:7">
      <c r="B34" s="14" t="s">
        <v>3</v>
      </c>
      <c r="C34" s="14" t="s">
        <v>4</v>
      </c>
      <c r="D34" s="14" t="s">
        <v>5</v>
      </c>
      <c r="E34" s="14" t="s">
        <v>6</v>
      </c>
      <c r="F34" s="14" t="s">
        <v>7</v>
      </c>
      <c r="G34" s="14" t="s">
        <v>8</v>
      </c>
    </row>
    <row r="35" spans="2:7">
      <c r="B35" s="4">
        <v>1</v>
      </c>
      <c r="C35" s="15" t="s">
        <v>65</v>
      </c>
      <c r="D35" s="32">
        <v>100000</v>
      </c>
      <c r="E35" s="4" t="s">
        <v>66</v>
      </c>
      <c r="F35" s="15" t="s">
        <v>67</v>
      </c>
      <c r="G35" s="15" t="s">
        <v>68</v>
      </c>
    </row>
    <row r="36" spans="2:7">
      <c r="B36" s="4">
        <v>2</v>
      </c>
      <c r="C36" s="15" t="s">
        <v>69</v>
      </c>
      <c r="D36" s="32">
        <v>200000</v>
      </c>
      <c r="E36" s="4" t="s">
        <v>66</v>
      </c>
      <c r="F36" s="15" t="s">
        <v>70</v>
      </c>
      <c r="G36" s="15" t="s">
        <v>71</v>
      </c>
    </row>
    <row r="38" ht="15.6" spans="2:7">
      <c r="B38" s="25" t="s">
        <v>72</v>
      </c>
    </row>
    <row r="39" spans="2:7">
      <c r="B39" s="14" t="s">
        <v>3</v>
      </c>
      <c r="C39" s="14" t="s">
        <v>4</v>
      </c>
      <c r="D39" s="14" t="s">
        <v>5</v>
      </c>
      <c r="E39" s="14" t="s">
        <v>6</v>
      </c>
      <c r="F39" s="14" t="s">
        <v>7</v>
      </c>
      <c r="G39" s="14" t="s">
        <v>8</v>
      </c>
    </row>
    <row r="40" spans="2:7">
      <c r="B40" s="4">
        <v>1</v>
      </c>
      <c r="C40" s="15" t="s">
        <v>73</v>
      </c>
      <c r="D40" s="32">
        <v>200000</v>
      </c>
      <c r="E40" s="4" t="s">
        <v>74</v>
      </c>
      <c r="F40" s="15" t="s">
        <v>75</v>
      </c>
      <c r="G40" s="15" t="s">
        <v>76</v>
      </c>
    </row>
    <row r="41" spans="2:7">
      <c r="B41" s="4">
        <v>2</v>
      </c>
      <c r="C41" s="15" t="s">
        <v>77</v>
      </c>
      <c r="D41" s="32">
        <v>150000</v>
      </c>
      <c r="E41" s="4" t="s">
        <v>74</v>
      </c>
      <c r="F41" s="15" t="s">
        <v>16</v>
      </c>
      <c r="G41" s="15" t="s">
        <v>78</v>
      </c>
    </row>
    <row r="42" spans="2:7">
      <c r="B42" s="4">
        <v>3</v>
      </c>
      <c r="C42" s="15" t="s">
        <v>79</v>
      </c>
      <c r="D42" s="32">
        <v>200000</v>
      </c>
      <c r="E42" s="4" t="s">
        <v>74</v>
      </c>
      <c r="F42" s="15" t="s">
        <v>16</v>
      </c>
      <c r="G42" s="15" t="s">
        <v>80</v>
      </c>
    </row>
    <row r="43" spans="2:7">
      <c r="B43" s="4">
        <v>4</v>
      </c>
      <c r="C43" s="15" t="s">
        <v>81</v>
      </c>
      <c r="D43" s="32">
        <v>400000</v>
      </c>
      <c r="E43" s="4" t="s">
        <v>74</v>
      </c>
      <c r="F43" s="15" t="s">
        <v>16</v>
      </c>
      <c r="G43" s="15" t="s">
        <v>82</v>
      </c>
    </row>
    <row r="44" spans="2:7">
      <c r="B44" s="4">
        <v>5</v>
      </c>
      <c r="C44" s="15" t="s">
        <v>83</v>
      </c>
      <c r="D44" s="32">
        <v>600000</v>
      </c>
      <c r="E44" s="4" t="s">
        <v>74</v>
      </c>
      <c r="F44" s="15" t="s">
        <v>16</v>
      </c>
      <c r="G44" s="15" t="s">
        <v>84</v>
      </c>
    </row>
    <row r="45" spans="2:7">
      <c r="B45" s="4">
        <v>6</v>
      </c>
      <c r="C45" s="15" t="s">
        <v>85</v>
      </c>
      <c r="D45" s="32">
        <v>300000</v>
      </c>
      <c r="E45" s="4" t="s">
        <v>74</v>
      </c>
      <c r="F45" s="15" t="s">
        <v>86</v>
      </c>
      <c r="G45" s="15" t="s">
        <v>87</v>
      </c>
    </row>
    <row r="47" ht="15.6" spans="2:7">
      <c r="B47" s="25" t="s">
        <v>88</v>
      </c>
    </row>
    <row r="48" spans="2:7">
      <c r="B48" s="14" t="s">
        <v>3</v>
      </c>
      <c r="C48" s="14" t="s">
        <v>4</v>
      </c>
      <c r="D48" s="14" t="s">
        <v>5</v>
      </c>
      <c r="E48" s="14" t="s">
        <v>6</v>
      </c>
      <c r="F48" s="14" t="s">
        <v>7</v>
      </c>
      <c r="G48" s="14" t="s">
        <v>8</v>
      </c>
    </row>
    <row r="49" spans="2:7">
      <c r="B49" s="4">
        <v>1</v>
      </c>
      <c r="C49" s="15" t="s">
        <v>89</v>
      </c>
      <c r="D49" s="32">
        <v>30</v>
      </c>
      <c r="E49" s="4" t="s">
        <v>90</v>
      </c>
      <c r="F49" s="15" t="s">
        <v>91</v>
      </c>
      <c r="G49" s="15" t="s">
        <v>92</v>
      </c>
    </row>
    <row r="50" spans="2:7">
      <c r="B50" s="4">
        <v>2</v>
      </c>
      <c r="C50" s="15" t="s">
        <v>93</v>
      </c>
      <c r="D50" s="32">
        <v>2</v>
      </c>
      <c r="E50" s="4" t="s">
        <v>94</v>
      </c>
      <c r="F50" s="15" t="s">
        <v>95</v>
      </c>
      <c r="G50" s="15" t="s">
        <v>96</v>
      </c>
    </row>
    <row r="52" ht="15.6" spans="2:7">
      <c r="B52" s="25" t="s">
        <v>97</v>
      </c>
    </row>
    <row r="53" spans="2:7">
      <c r="B53" s="14" t="s">
        <v>3</v>
      </c>
      <c r="C53" s="14" t="s">
        <v>4</v>
      </c>
      <c r="D53" s="14" t="s">
        <v>5</v>
      </c>
      <c r="E53" s="14" t="s">
        <v>6</v>
      </c>
      <c r="F53" s="14" t="s">
        <v>7</v>
      </c>
      <c r="G53" s="14" t="s">
        <v>8</v>
      </c>
    </row>
    <row r="54" spans="2:7">
      <c r="B54" s="4">
        <v>1</v>
      </c>
      <c r="C54" s="15" t="s">
        <v>98</v>
      </c>
      <c r="D54" s="32">
        <v>11000000</v>
      </c>
      <c r="E54" s="4" t="s">
        <v>99</v>
      </c>
      <c r="F54" s="15" t="s">
        <v>100</v>
      </c>
      <c r="G54" s="15" t="s">
        <v>101</v>
      </c>
    </row>
    <row r="55" spans="2:7">
      <c r="B55" s="4">
        <v>2</v>
      </c>
      <c r="C55" s="15" t="s">
        <v>102</v>
      </c>
      <c r="D55" s="32">
        <v>4400000</v>
      </c>
      <c r="E55" s="4" t="s">
        <v>99</v>
      </c>
      <c r="F55" s="15" t="s">
        <v>103</v>
      </c>
      <c r="G55" s="15" t="s">
        <v>104</v>
      </c>
    </row>
    <row r="56" spans="2:7">
      <c r="B56" s="4">
        <v>3</v>
      </c>
      <c r="C56" s="15" t="s">
        <v>105</v>
      </c>
      <c r="D56" s="34">
        <v>0.1</v>
      </c>
      <c r="E56" s="4" t="s">
        <v>106</v>
      </c>
      <c r="F56" s="15" t="s">
        <v>107</v>
      </c>
      <c r="G56" s="15" t="s">
        <v>108</v>
      </c>
    </row>
    <row r="58" ht="15.6" spans="2:7">
      <c r="B58" s="25" t="s">
        <v>109</v>
      </c>
    </row>
    <row r="59" spans="2:7">
      <c r="B59" s="14" t="s">
        <v>110</v>
      </c>
      <c r="C59" s="14" t="s">
        <v>111</v>
      </c>
      <c r="D59" s="14" t="s">
        <v>112</v>
      </c>
      <c r="E59" s="14" t="s">
        <v>113</v>
      </c>
      <c r="F59" s="14" t="s">
        <v>114</v>
      </c>
    </row>
    <row r="60" spans="2:7">
      <c r="B60" s="4">
        <v>1</v>
      </c>
      <c r="C60" s="35">
        <v>0.05</v>
      </c>
      <c r="D60" s="36">
        <v>0</v>
      </c>
      <c r="E60" s="15" t="s">
        <v>115</v>
      </c>
      <c r="F60" s="15" t="s">
        <v>116</v>
      </c>
    </row>
    <row r="61" spans="2:7">
      <c r="B61" s="4">
        <v>2</v>
      </c>
      <c r="C61" s="35">
        <v>0.1</v>
      </c>
      <c r="D61" s="36">
        <v>166667</v>
      </c>
      <c r="E61" s="15" t="s">
        <v>117</v>
      </c>
      <c r="F61" s="15" t="s">
        <v>118</v>
      </c>
    </row>
    <row r="62" spans="2:7">
      <c r="B62" s="4">
        <v>3</v>
      </c>
      <c r="C62" s="35">
        <v>0.2</v>
      </c>
      <c r="D62" s="36">
        <v>1166667</v>
      </c>
      <c r="E62" s="15" t="s">
        <v>119</v>
      </c>
      <c r="F62" s="15" t="s">
        <v>120</v>
      </c>
    </row>
    <row r="63" spans="2:7">
      <c r="B63" s="4">
        <v>4</v>
      </c>
      <c r="C63" s="35">
        <v>0.3</v>
      </c>
      <c r="D63" s="36">
        <v>3166667</v>
      </c>
      <c r="E63" s="15" t="s">
        <v>121</v>
      </c>
      <c r="F63" s="15" t="s">
        <v>122</v>
      </c>
    </row>
    <row r="64" spans="2:7">
      <c r="B64" s="4">
        <v>5</v>
      </c>
      <c r="C64" s="35">
        <v>0.35</v>
      </c>
      <c r="D64" s="36">
        <v>4833333</v>
      </c>
      <c r="E64" s="15" t="s">
        <v>123</v>
      </c>
      <c r="F64" s="15" t="s">
        <v>124</v>
      </c>
    </row>
    <row r="65" spans="2:8">
      <c r="B65" s="12" t="s">
        <v>125</v>
      </c>
    </row>
    <row r="67" ht="15.6" spans="2:8">
      <c r="B67" s="25" t="s">
        <v>126</v>
      </c>
    </row>
    <row r="68" spans="2:8">
      <c r="B68" s="14" t="s">
        <v>127</v>
      </c>
      <c r="C68" s="14" t="s">
        <v>128</v>
      </c>
      <c r="D68" s="14" t="s">
        <v>129</v>
      </c>
      <c r="E68" s="14" t="s">
        <v>130</v>
      </c>
      <c r="F68" s="14" t="s">
        <v>131</v>
      </c>
      <c r="G68" s="14" t="s">
        <v>132</v>
      </c>
      <c r="H68" s="14" t="s">
        <v>133</v>
      </c>
    </row>
    <row r="69" spans="2:8">
      <c r="B69" s="20" t="s">
        <v>134</v>
      </c>
      <c r="C69" s="5" t="s">
        <v>135</v>
      </c>
      <c r="D69" s="20" t="s">
        <v>136</v>
      </c>
      <c r="E69" s="22">
        <v>2</v>
      </c>
      <c r="F69" s="20" t="s">
        <v>137</v>
      </c>
      <c r="G69" s="22">
        <v>0</v>
      </c>
      <c r="H69" s="15" t="s">
        <v>16</v>
      </c>
    </row>
    <row r="70" spans="2:8">
      <c r="B70" s="20" t="s">
        <v>138</v>
      </c>
      <c r="C70" s="5" t="s">
        <v>139</v>
      </c>
      <c r="D70" s="20" t="s">
        <v>136</v>
      </c>
      <c r="E70" s="22">
        <v>0</v>
      </c>
      <c r="F70" s="20" t="s">
        <v>137</v>
      </c>
      <c r="G70" s="22">
        <v>0</v>
      </c>
      <c r="H70" s="15" t="s">
        <v>16</v>
      </c>
    </row>
    <row r="71" spans="2:8">
      <c r="B71" s="20" t="s">
        <v>140</v>
      </c>
      <c r="C71" s="5" t="s">
        <v>141</v>
      </c>
      <c r="D71" s="20" t="s">
        <v>136</v>
      </c>
      <c r="E71" s="22">
        <v>1</v>
      </c>
      <c r="F71" s="20" t="s">
        <v>137</v>
      </c>
      <c r="G71" s="22">
        <v>0</v>
      </c>
      <c r="H71" s="15" t="s">
        <v>16</v>
      </c>
    </row>
    <row r="72" spans="2:8">
      <c r="B72" s="20" t="s">
        <v>142</v>
      </c>
      <c r="C72" s="5" t="s">
        <v>143</v>
      </c>
      <c r="D72" s="20" t="s">
        <v>136</v>
      </c>
      <c r="E72" s="22">
        <v>0</v>
      </c>
      <c r="F72" s="20" t="s">
        <v>137</v>
      </c>
      <c r="G72" s="22">
        <v>0</v>
      </c>
      <c r="H72" s="15" t="s">
        <v>16</v>
      </c>
    </row>
    <row r="73" spans="2:8">
      <c r="B73" s="20" t="s">
        <v>144</v>
      </c>
      <c r="C73" s="5" t="s">
        <v>145</v>
      </c>
      <c r="D73" s="20" t="s">
        <v>136</v>
      </c>
      <c r="E73" s="22">
        <v>0</v>
      </c>
      <c r="F73" s="20" t="s">
        <v>146</v>
      </c>
      <c r="G73" s="22">
        <v>0</v>
      </c>
      <c r="H73" s="15" t="s">
        <v>147</v>
      </c>
    </row>
    <row r="74" spans="2:8">
      <c r="B74" s="20" t="s">
        <v>148</v>
      </c>
      <c r="C74" s="5" t="s">
        <v>149</v>
      </c>
      <c r="D74" s="20" t="s">
        <v>136</v>
      </c>
      <c r="E74" s="22">
        <v>0</v>
      </c>
      <c r="F74" s="20" t="s">
        <v>146</v>
      </c>
      <c r="G74" s="22">
        <v>0</v>
      </c>
      <c r="H74" s="15" t="s">
        <v>147</v>
      </c>
    </row>
    <row r="75" spans="2:8">
      <c r="B75" s="20" t="s">
        <v>150</v>
      </c>
      <c r="C75" s="5" t="s">
        <v>151</v>
      </c>
      <c r="D75" s="20" t="s">
        <v>152</v>
      </c>
      <c r="E75" s="22">
        <v>0</v>
      </c>
      <c r="F75" s="20" t="s">
        <v>137</v>
      </c>
      <c r="G75" s="22">
        <v>0</v>
      </c>
      <c r="H75" s="15" t="s">
        <v>16</v>
      </c>
    </row>
    <row r="76" spans="2:8">
      <c r="B76" s="20" t="s">
        <v>153</v>
      </c>
      <c r="C76" s="5" t="s">
        <v>154</v>
      </c>
      <c r="D76" s="20" t="s">
        <v>155</v>
      </c>
      <c r="E76" s="22">
        <v>1</v>
      </c>
      <c r="F76" s="20" t="s">
        <v>137</v>
      </c>
      <c r="G76" s="22">
        <v>0</v>
      </c>
      <c r="H76" s="15" t="s">
        <v>16</v>
      </c>
    </row>
    <row r="77" spans="2:8">
      <c r="B77" s="20" t="s">
        <v>156</v>
      </c>
      <c r="C77" s="5" t="s">
        <v>157</v>
      </c>
      <c r="D77" s="20" t="s">
        <v>152</v>
      </c>
      <c r="E77" s="22">
        <v>0</v>
      </c>
      <c r="F77" s="20" t="s">
        <v>137</v>
      </c>
      <c r="G77" s="22">
        <v>0</v>
      </c>
      <c r="H77" s="15" t="s">
        <v>16</v>
      </c>
    </row>
    <row r="78" spans="2:8">
      <c r="B78" s="20" t="s">
        <v>158</v>
      </c>
      <c r="C78" s="5" t="s">
        <v>159</v>
      </c>
      <c r="D78" s="20" t="s">
        <v>152</v>
      </c>
      <c r="E78" s="22">
        <v>0</v>
      </c>
      <c r="F78" s="20" t="s">
        <v>137</v>
      </c>
      <c r="G78" s="22">
        <v>0</v>
      </c>
      <c r="H78" s="15" t="s">
        <v>16</v>
      </c>
    </row>
    <row r="79" spans="2:8">
      <c r="B79" s="20" t="s">
        <v>160</v>
      </c>
      <c r="C79" s="5" t="s">
        <v>161</v>
      </c>
      <c r="D79" s="20" t="s">
        <v>152</v>
      </c>
      <c r="E79" s="22">
        <v>0</v>
      </c>
      <c r="F79" s="20" t="s">
        <v>146</v>
      </c>
      <c r="G79" s="22">
        <v>0</v>
      </c>
      <c r="H79" s="15" t="s">
        <v>162</v>
      </c>
    </row>
    <row r="80" spans="2:8">
      <c r="B80" s="20" t="s">
        <v>163</v>
      </c>
      <c r="C80" s="5" t="s">
        <v>164</v>
      </c>
      <c r="D80" s="20" t="s">
        <v>152</v>
      </c>
      <c r="E80" s="22">
        <v>0</v>
      </c>
      <c r="F80" s="20" t="s">
        <v>137</v>
      </c>
      <c r="G80" s="22">
        <v>0</v>
      </c>
      <c r="H80" s="15" t="s">
        <v>16</v>
      </c>
    </row>
  </sheetData>
  <mergeCells count="1">
    <mergeCell ref="B65:H65"/>
  </mergeCells>
  <dataValidations count="2">
    <dataValidation type="time" operator="between" allowBlank="1" showInputMessage="1" showErrorMessage="1" errorTitle="Sai định dạng giờ" error="Nhập theo hệ 24 giờ: 22:30, 06:30, 00:00. Không dùng AM/PM, không gõ chữ." promptTitle="Hệ 24 giờ" prompt="Ví dụ: 22:30 · 02:30 · 06:30" sqref="D13:D16">
      <formula1>0</formula1>
      <formula2>1</formula2>
    </dataValidation>
    <dataValidation type="list" allowBlank="1" sqref="F69:F80">
      <formula1>"Có,Không"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A125"/>
  <sheetViews>
    <sheetView workbookViewId="0">
      <pane xSplit="5" ySplit="5" topLeftCell="F6" activePane="bottomRight" state="frozen"/>
      <selection/>
      <selection pane="topRight"/>
      <selection pane="bottomLeft"/>
      <selection pane="bottomRight" activeCell="H10" sqref="H10"/>
    </sheetView>
  </sheetViews>
  <sheetFormatPr defaultColWidth="9" defaultRowHeight="14.4"/>
  <cols>
    <col min="1" max="1" width="3" style="1" customWidth="1"/>
    <col min="2" max="2" width="6" style="1" customWidth="1"/>
    <col min="3" max="4" width="12" style="1" customWidth="1"/>
    <col min="5" max="5" width="26" style="1" customWidth="1"/>
    <col min="6" max="6" width="14" style="1" customWidth="1"/>
    <col min="7" max="9" width="12" style="1" customWidth="1"/>
    <col min="10" max="10" width="16" style="1" customWidth="1"/>
    <col min="11" max="11" width="12" style="1" customWidth="1"/>
    <col min="12" max="12" width="10" style="1" customWidth="1"/>
    <col min="13" max="13" width="12" style="1" customWidth="1"/>
    <col min="14" max="15" width="11" style="1" customWidth="1"/>
    <col min="16" max="18" width="10" style="1" customWidth="1"/>
    <col min="19" max="19" width="11" style="1" customWidth="1"/>
    <col min="20" max="21" width="14" style="1" customWidth="1"/>
    <col min="22" max="22" width="15" style="1" customWidth="1"/>
    <col min="23" max="23" width="14" style="1" customWidth="1"/>
    <col min="24" max="24" width="15" style="1" customWidth="1"/>
    <col min="25" max="25" width="10" style="1" customWidth="1"/>
    <col min="26" max="26" width="18" style="1" customWidth="1"/>
    <col min="27" max="27" width="36" style="1" customWidth="1"/>
    <col min="28" max="16384" width="9" style="1"/>
  </cols>
  <sheetData>
    <row r="2" ht="17.4" spans="2:27">
      <c r="B2" s="13" t="s">
        <v>165</v>
      </c>
    </row>
    <row r="3" spans="2:27">
      <c r="B3" s="12" t="s">
        <v>166</v>
      </c>
    </row>
    <row r="5" spans="2:27">
      <c r="B5" s="14" t="s">
        <v>3</v>
      </c>
      <c r="C5" s="14" t="s">
        <v>167</v>
      </c>
      <c r="D5" s="14" t="s">
        <v>127</v>
      </c>
      <c r="E5" s="14" t="s">
        <v>128</v>
      </c>
      <c r="F5" s="14" t="s">
        <v>168</v>
      </c>
      <c r="G5" s="14" t="s">
        <v>169</v>
      </c>
      <c r="H5" s="14" t="s">
        <v>170</v>
      </c>
      <c r="I5" s="14" t="s">
        <v>171</v>
      </c>
      <c r="J5" s="14" t="s">
        <v>172</v>
      </c>
      <c r="K5" s="14" t="s">
        <v>173</v>
      </c>
      <c r="L5" s="14" t="s">
        <v>174</v>
      </c>
      <c r="M5" s="14" t="s">
        <v>175</v>
      </c>
      <c r="N5" s="14" t="s">
        <v>176</v>
      </c>
      <c r="O5" s="14" t="s">
        <v>177</v>
      </c>
      <c r="P5" s="14" t="s">
        <v>178</v>
      </c>
      <c r="Q5" s="14" t="s">
        <v>179</v>
      </c>
      <c r="R5" s="14" t="s">
        <v>180</v>
      </c>
      <c r="S5" s="14" t="s">
        <v>181</v>
      </c>
      <c r="T5" s="14" t="s">
        <v>182</v>
      </c>
      <c r="U5" s="14" t="s">
        <v>183</v>
      </c>
      <c r="V5" s="14" t="s">
        <v>184</v>
      </c>
      <c r="W5" s="14" t="s">
        <v>185</v>
      </c>
      <c r="X5" s="14" t="s">
        <v>186</v>
      </c>
      <c r="Y5" s="14" t="s">
        <v>187</v>
      </c>
      <c r="Z5" s="14" t="s">
        <v>188</v>
      </c>
      <c r="AA5" s="14" t="s">
        <v>133</v>
      </c>
    </row>
    <row r="6" spans="2:27">
      <c r="B6" s="6" t="str">
        <f>IF($D6="","",1)</f>
        <v/>
      </c>
      <c r="C6" s="19"/>
      <c r="D6" s="20"/>
      <c r="E6" s="15" t="str">
        <f>IFERROR(VLOOKUP(D6,Assumption!$B$69:$C$80,2,0),"")</f>
        <v/>
      </c>
      <c r="F6" s="20"/>
      <c r="G6" s="20"/>
      <c r="H6" s="21"/>
      <c r="I6" s="21"/>
      <c r="J6" s="5"/>
      <c r="K6" s="22"/>
      <c r="L6" s="22"/>
      <c r="M6" s="20"/>
      <c r="N6" s="23" t="str">
        <f>IF(OR($F6&lt;&gt;"TRUC_DEM",$H6=""),"",(HOUR($H6)+MINUTE($H6)/60)+IF((HOUR($H6)+MINUTE($H6)/60)&lt;moc_chia_ngay,24,0))</f>
        <v/>
      </c>
      <c r="O6" s="23" t="str">
        <f>IF(OR($F6&lt;&gt;"TRUC_DEM",$I6=""),"",(HOUR($I6)+MINUTE($I6)/60)+IF((HOUR($I6)+MINUTE($I6)/60)&lt;moc_chia_ngay,24,0))</f>
        <v/>
      </c>
      <c r="P6" s="17" t="str">
        <f>IF($N6="","",MAX(0,MIN($O6,moc_loi_tu)-MAX($N6,moc_dem_tu))+MAX(0,MIN($O6,moc_dem_den)-MAX($N6,moc_loi_den)))</f>
        <v/>
      </c>
      <c r="Q6" s="17" t="str">
        <f>IF($N6="","",MAX(0,MIN($O6,moc_loi_den)-MAX($N6,moc_loi_tu)))</f>
        <v/>
      </c>
      <c r="R6" s="17" t="str">
        <f t="shared" ref="R6:R69" si="0">IF($N6="","",$P6+$Q6)</f>
        <v/>
      </c>
      <c r="S6" s="4" t="str">
        <f t="shared" ref="S6:S69" si="1">IF($N6="","",IF($Q6&gt;0,"Blaze",IF($P6&gt;0,"Spark","")))</f>
        <v/>
      </c>
      <c r="T6" s="6">
        <f>IF($N6="",0,($P6*rate_gio_bien+$Q6*rate_gio_loi)*IF($G6="Lễ",he_so_le,1))</f>
        <v>0</v>
      </c>
      <c r="U6" s="6">
        <f>IF($N6="",0,IF($S6="Blaze",bca_blaze,IF($S6="Spark",bca_spark,0))*IF($G6="Lễ",he_so_le,1))</f>
        <v>0</v>
      </c>
      <c r="V6" s="24">
        <f t="shared" ref="V6:V69" si="2">ROUND($T6+$U6,0)</f>
        <v>0</v>
      </c>
      <c r="W6" s="24">
        <f>IF(OR($F6&lt;&gt;"OPS",$H6=""),0,ROUND(IF(AND($H6&gt;=TIME(6,0,0),$H6&lt;TIME(8,0,0)),ops_0600_0800,IF(AND($H6&gt;=TIME(8,0,0),$H6&lt;TIME(18,0,0)),ops_0800_1800,IF(AND($H6&gt;=TIME(18,0,0),$H6&lt;TIME(22,0,0)),ops_1800_2200,IF(OR($H6&gt;=TIME(22,0,0),$H6&lt;TIME(1,0,0)),ops_2200_0100,IF(AND($H6&gt;=TIME(1,0,0),$H6&lt;TIME(6,0,0)),ops_0100_0600,0)))))+IF($G6="Lễ",ops_phu_troi_le,0),0))</f>
        <v>0</v>
      </c>
      <c r="X6" s="16">
        <f t="shared" ref="X6:X69" si="3">$V6+$W6</f>
        <v>0</v>
      </c>
      <c r="Y6" s="6" t="str">
        <f>IF(OR($F6&lt;&gt;"OPS",$K6=""),"",IF($K6&lt;=ops_kg_1nguoi,1,ops_nguoi_toi_da))</f>
        <v/>
      </c>
      <c r="Z6" s="15" t="str">
        <f t="shared" ref="Z6:Z69" si="4">IF($D6="","",IF(AND($F6="TRUC_DEM",$R6=0),"Ca ngoài khung 22:00–06:00",IF(AND($F6="OPS",$L6&lt;&gt;"",$Y6&lt;&gt;"",$L6&lt;$Y6),"Thiếu người so với định biên","")))</f>
        <v/>
      </c>
      <c r="AA6" s="5"/>
    </row>
    <row r="7" spans="2:27">
      <c r="B7" s="6" t="str">
        <f>IF($D7="","",2)</f>
        <v/>
      </c>
      <c r="C7" s="19"/>
      <c r="D7" s="20"/>
      <c r="E7" s="15" t="str">
        <f>IFERROR(VLOOKUP(D7,Assumption!$B$69:$C$80,2,0),"")</f>
        <v/>
      </c>
      <c r="F7" s="20"/>
      <c r="G7" s="20"/>
      <c r="H7" s="21"/>
      <c r="I7" s="21"/>
      <c r="J7" s="5"/>
      <c r="K7" s="22"/>
      <c r="L7" s="22"/>
      <c r="M7" s="20"/>
      <c r="N7" s="23" t="str">
        <f>IF(OR($F7&lt;&gt;"TRUC_DEM",$H7=""),"",(HOUR($H7)+MINUTE($H7)/60)+IF((HOUR($H7)+MINUTE($H7)/60)&lt;moc_chia_ngay,24,0))</f>
        <v/>
      </c>
      <c r="O7" s="23" t="str">
        <f>IF(OR($F7&lt;&gt;"TRUC_DEM",$I7=""),"",(HOUR($I7)+MINUTE($I7)/60)+IF((HOUR($I7)+MINUTE($I7)/60)&lt;moc_chia_ngay,24,0))</f>
        <v/>
      </c>
      <c r="P7" s="17" t="str">
        <f>IF($N7="","",MAX(0,MIN($O7,moc_loi_tu)-MAX($N7,moc_dem_tu))+MAX(0,MIN($O7,moc_dem_den)-MAX($N7,moc_loi_den)))</f>
        <v/>
      </c>
      <c r="Q7" s="17" t="str">
        <f>IF($N7="","",MAX(0,MIN($O7,moc_loi_den)-MAX($N7,moc_loi_tu)))</f>
        <v/>
      </c>
      <c r="R7" s="17" t="str">
        <f t="shared" si="0"/>
        <v/>
      </c>
      <c r="S7" s="4" t="str">
        <f t="shared" si="1"/>
        <v/>
      </c>
      <c r="T7" s="6">
        <f>IF($N7="",0,($P7*rate_gio_bien+$Q7*rate_gio_loi)*IF($G7="Lễ",he_so_le,1))</f>
        <v>0</v>
      </c>
      <c r="U7" s="6">
        <f>IF($N7="",0,IF($S7="Blaze",bca_blaze,IF($S7="Spark",bca_spark,0))*IF($G7="Lễ",he_so_le,1))</f>
        <v>0</v>
      </c>
      <c r="V7" s="24">
        <f t="shared" si="2"/>
        <v>0</v>
      </c>
      <c r="W7" s="24">
        <f>IF(OR($F7&lt;&gt;"OPS",$H7=""),0,ROUND(IF(AND($H7&gt;=TIME(6,0,0),$H7&lt;TIME(8,0,0)),ops_0600_0800,IF(AND($H7&gt;=TIME(8,0,0),$H7&lt;TIME(18,0,0)),ops_0800_1800,IF(AND($H7&gt;=TIME(18,0,0),$H7&lt;TIME(22,0,0)),ops_1800_2200,IF(OR($H7&gt;=TIME(22,0,0),$H7&lt;TIME(1,0,0)),ops_2200_0100,IF(AND($H7&gt;=TIME(1,0,0),$H7&lt;TIME(6,0,0)),ops_0100_0600,0)))))+IF($G7="Lễ",ops_phu_troi_le,0),0))</f>
        <v>0</v>
      </c>
      <c r="X7" s="16">
        <f t="shared" si="3"/>
        <v>0</v>
      </c>
      <c r="Y7" s="6" t="str">
        <f>IF(OR($F7&lt;&gt;"OPS",$K7=""),"",IF($K7&lt;=ops_kg_1nguoi,1,ops_nguoi_toi_da))</f>
        <v/>
      </c>
      <c r="Z7" s="15" t="str">
        <f t="shared" si="4"/>
        <v/>
      </c>
      <c r="AA7" s="5"/>
    </row>
    <row r="8" spans="2:27">
      <c r="B8" s="6" t="str">
        <f>IF($D8="","",3)</f>
        <v/>
      </c>
      <c r="C8" s="19"/>
      <c r="D8" s="20"/>
      <c r="E8" s="15" t="str">
        <f>IFERROR(VLOOKUP(D8,Assumption!$B$69:$C$80,2,0),"")</f>
        <v/>
      </c>
      <c r="F8" s="20"/>
      <c r="G8" s="20"/>
      <c r="H8" s="21"/>
      <c r="I8" s="21"/>
      <c r="J8" s="5"/>
      <c r="K8" s="22"/>
      <c r="L8" s="22"/>
      <c r="M8" s="20"/>
      <c r="N8" s="23" t="str">
        <f>IF(OR($F8&lt;&gt;"TRUC_DEM",$H8=""),"",(HOUR($H8)+MINUTE($H8)/60)+IF((HOUR($H8)+MINUTE($H8)/60)&lt;moc_chia_ngay,24,0))</f>
        <v/>
      </c>
      <c r="O8" s="23" t="str">
        <f>IF(OR($F8&lt;&gt;"TRUC_DEM",$I8=""),"",(HOUR($I8)+MINUTE($I8)/60)+IF((HOUR($I8)+MINUTE($I8)/60)&lt;moc_chia_ngay,24,0))</f>
        <v/>
      </c>
      <c r="P8" s="17" t="str">
        <f>IF($N8="","",MAX(0,MIN($O8,moc_loi_tu)-MAX($N8,moc_dem_tu))+MAX(0,MIN($O8,moc_dem_den)-MAX($N8,moc_loi_den)))</f>
        <v/>
      </c>
      <c r="Q8" s="17" t="str">
        <f>IF($N8="","",MAX(0,MIN($O8,moc_loi_den)-MAX($N8,moc_loi_tu)))</f>
        <v/>
      </c>
      <c r="R8" s="17" t="str">
        <f t="shared" si="0"/>
        <v/>
      </c>
      <c r="S8" s="4" t="str">
        <f t="shared" si="1"/>
        <v/>
      </c>
      <c r="T8" s="6">
        <f>IF($N8="",0,($P8*rate_gio_bien+$Q8*rate_gio_loi)*IF($G8="Lễ",he_so_le,1))</f>
        <v>0</v>
      </c>
      <c r="U8" s="6">
        <f>IF($N8="",0,IF($S8="Blaze",bca_blaze,IF($S8="Spark",bca_spark,0))*IF($G8="Lễ",he_so_le,1))</f>
        <v>0</v>
      </c>
      <c r="V8" s="24">
        <f t="shared" si="2"/>
        <v>0</v>
      </c>
      <c r="W8" s="24">
        <f>IF(OR($F8&lt;&gt;"OPS",$H8=""),0,ROUND(IF(AND($H8&gt;=TIME(6,0,0),$H8&lt;TIME(8,0,0)),ops_0600_0800,IF(AND($H8&gt;=TIME(8,0,0),$H8&lt;TIME(18,0,0)),ops_0800_1800,IF(AND($H8&gt;=TIME(18,0,0),$H8&lt;TIME(22,0,0)),ops_1800_2200,IF(OR($H8&gt;=TIME(22,0,0),$H8&lt;TIME(1,0,0)),ops_2200_0100,IF(AND($H8&gt;=TIME(1,0,0),$H8&lt;TIME(6,0,0)),ops_0100_0600,0)))))+IF($G8="Lễ",ops_phu_troi_le,0),0))</f>
        <v>0</v>
      </c>
      <c r="X8" s="16">
        <f t="shared" si="3"/>
        <v>0</v>
      </c>
      <c r="Y8" s="6" t="str">
        <f>IF(OR($F8&lt;&gt;"OPS",$K8=""),"",IF($K8&lt;=ops_kg_1nguoi,1,ops_nguoi_toi_da))</f>
        <v/>
      </c>
      <c r="Z8" s="15" t="str">
        <f t="shared" si="4"/>
        <v/>
      </c>
      <c r="AA8" s="5"/>
    </row>
    <row r="9" spans="2:27">
      <c r="B9" s="6" t="str">
        <f>IF($D9="","",4)</f>
        <v/>
      </c>
      <c r="C9" s="19"/>
      <c r="D9" s="20"/>
      <c r="E9" s="15" t="str">
        <f>IFERROR(VLOOKUP(D9,Assumption!$B$69:$C$80,2,0),"")</f>
        <v/>
      </c>
      <c r="F9" s="20"/>
      <c r="G9" s="20"/>
      <c r="H9" s="21"/>
      <c r="I9" s="21"/>
      <c r="J9" s="5"/>
      <c r="K9" s="22"/>
      <c r="L9" s="22"/>
      <c r="M9" s="20"/>
      <c r="N9" s="23" t="str">
        <f>IF(OR($F9&lt;&gt;"TRUC_DEM",$H9=""),"",(HOUR($H9)+MINUTE($H9)/60)+IF((HOUR($H9)+MINUTE($H9)/60)&lt;moc_chia_ngay,24,0))</f>
        <v/>
      </c>
      <c r="O9" s="23" t="str">
        <f>IF(OR($F9&lt;&gt;"TRUC_DEM",$I9=""),"",(HOUR($I9)+MINUTE($I9)/60)+IF((HOUR($I9)+MINUTE($I9)/60)&lt;moc_chia_ngay,24,0))</f>
        <v/>
      </c>
      <c r="P9" s="17" t="str">
        <f>IF($N9="","",MAX(0,MIN($O9,moc_loi_tu)-MAX($N9,moc_dem_tu))+MAX(0,MIN($O9,moc_dem_den)-MAX($N9,moc_loi_den)))</f>
        <v/>
      </c>
      <c r="Q9" s="17" t="str">
        <f>IF($N9="","",MAX(0,MIN($O9,moc_loi_den)-MAX($N9,moc_loi_tu)))</f>
        <v/>
      </c>
      <c r="R9" s="17" t="str">
        <f t="shared" si="0"/>
        <v/>
      </c>
      <c r="S9" s="4" t="str">
        <f t="shared" si="1"/>
        <v/>
      </c>
      <c r="T9" s="6">
        <f>IF($N9="",0,($P9*rate_gio_bien+$Q9*rate_gio_loi)*IF($G9="Lễ",he_so_le,1))</f>
        <v>0</v>
      </c>
      <c r="U9" s="6">
        <f>IF($N9="",0,IF($S9="Blaze",bca_blaze,IF($S9="Spark",bca_spark,0))*IF($G9="Lễ",he_so_le,1))</f>
        <v>0</v>
      </c>
      <c r="V9" s="24">
        <f t="shared" si="2"/>
        <v>0</v>
      </c>
      <c r="W9" s="24">
        <f>IF(OR($F9&lt;&gt;"OPS",$H9=""),0,ROUND(IF(AND($H9&gt;=TIME(6,0,0),$H9&lt;TIME(8,0,0)),ops_0600_0800,IF(AND($H9&gt;=TIME(8,0,0),$H9&lt;TIME(18,0,0)),ops_0800_1800,IF(AND($H9&gt;=TIME(18,0,0),$H9&lt;TIME(22,0,0)),ops_1800_2200,IF(OR($H9&gt;=TIME(22,0,0),$H9&lt;TIME(1,0,0)),ops_2200_0100,IF(AND($H9&gt;=TIME(1,0,0),$H9&lt;TIME(6,0,0)),ops_0100_0600,0)))))+IF($G9="Lễ",ops_phu_troi_le,0),0))</f>
        <v>0</v>
      </c>
      <c r="X9" s="16">
        <f t="shared" si="3"/>
        <v>0</v>
      </c>
      <c r="Y9" s="6" t="str">
        <f>IF(OR($F9&lt;&gt;"OPS",$K9=""),"",IF($K9&lt;=ops_kg_1nguoi,1,ops_nguoi_toi_da))</f>
        <v/>
      </c>
      <c r="Z9" s="15" t="str">
        <f t="shared" si="4"/>
        <v/>
      </c>
      <c r="AA9" s="5"/>
    </row>
    <row r="10" spans="2:27">
      <c r="B10" s="6" t="str">
        <f>IF($D10="","",5)</f>
        <v/>
      </c>
      <c r="C10" s="19"/>
      <c r="D10" s="20"/>
      <c r="E10" s="15" t="str">
        <f>IFERROR(VLOOKUP(D10,Assumption!$B$69:$C$80,2,0),"")</f>
        <v/>
      </c>
      <c r="F10" s="20"/>
      <c r="G10" s="20"/>
      <c r="H10" s="21"/>
      <c r="I10" s="21"/>
      <c r="J10" s="5"/>
      <c r="K10" s="22"/>
      <c r="L10" s="22"/>
      <c r="M10" s="20"/>
      <c r="N10" s="23" t="str">
        <f>IF(OR($F10&lt;&gt;"TRUC_DEM",$H10=""),"",(HOUR($H10)+MINUTE($H10)/60)+IF((HOUR($H10)+MINUTE($H10)/60)&lt;moc_chia_ngay,24,0))</f>
        <v/>
      </c>
      <c r="O10" s="23" t="str">
        <f>IF(OR($F10&lt;&gt;"TRUC_DEM",$I10=""),"",(HOUR($I10)+MINUTE($I10)/60)+IF((HOUR($I10)+MINUTE($I10)/60)&lt;moc_chia_ngay,24,0))</f>
        <v/>
      </c>
      <c r="P10" s="17" t="str">
        <f>IF($N10="","",MAX(0,MIN($O10,moc_loi_tu)-MAX($N10,moc_dem_tu))+MAX(0,MIN($O10,moc_dem_den)-MAX($N10,moc_loi_den)))</f>
        <v/>
      </c>
      <c r="Q10" s="17" t="str">
        <f>IF($N10="","",MAX(0,MIN($O10,moc_loi_den)-MAX($N10,moc_loi_tu)))</f>
        <v/>
      </c>
      <c r="R10" s="17" t="str">
        <f t="shared" si="0"/>
        <v/>
      </c>
      <c r="S10" s="4" t="str">
        <f t="shared" si="1"/>
        <v/>
      </c>
      <c r="T10" s="6">
        <f>IF($N10="",0,($P10*rate_gio_bien+$Q10*rate_gio_loi)*IF($G10="Lễ",he_so_le,1))</f>
        <v>0</v>
      </c>
      <c r="U10" s="6">
        <f>IF($N10="",0,IF($S10="Blaze",bca_blaze,IF($S10="Spark",bca_spark,0))*IF($G10="Lễ",he_so_le,1))</f>
        <v>0</v>
      </c>
      <c r="V10" s="24">
        <f t="shared" si="2"/>
        <v>0</v>
      </c>
      <c r="W10" s="24">
        <f>IF(OR($F10&lt;&gt;"OPS",$H10=""),0,ROUND(IF(AND($H10&gt;=TIME(6,0,0),$H10&lt;TIME(8,0,0)),ops_0600_0800,IF(AND($H10&gt;=TIME(8,0,0),$H10&lt;TIME(18,0,0)),ops_0800_1800,IF(AND($H10&gt;=TIME(18,0,0),$H10&lt;TIME(22,0,0)),ops_1800_2200,IF(OR($H10&gt;=TIME(22,0,0),$H10&lt;TIME(1,0,0)),ops_2200_0100,IF(AND($H10&gt;=TIME(1,0,0),$H10&lt;TIME(6,0,0)),ops_0100_0600,0)))))+IF($G10="Lễ",ops_phu_troi_le,0),0))</f>
        <v>0</v>
      </c>
      <c r="X10" s="16">
        <f t="shared" si="3"/>
        <v>0</v>
      </c>
      <c r="Y10" s="6" t="str">
        <f>IF(OR($F10&lt;&gt;"OPS",$K10=""),"",IF($K10&lt;=ops_kg_1nguoi,1,ops_nguoi_toi_da))</f>
        <v/>
      </c>
      <c r="Z10" s="15" t="str">
        <f t="shared" si="4"/>
        <v/>
      </c>
      <c r="AA10" s="5"/>
    </row>
    <row r="11" spans="2:27">
      <c r="B11" s="6" t="str">
        <f>IF($D11="","",6)</f>
        <v/>
      </c>
      <c r="C11" s="19"/>
      <c r="D11" s="20"/>
      <c r="E11" s="15" t="str">
        <f>IFERROR(VLOOKUP(D11,Assumption!$B$69:$C$80,2,0),"")</f>
        <v/>
      </c>
      <c r="F11" s="20"/>
      <c r="G11" s="20"/>
      <c r="H11" s="21"/>
      <c r="I11" s="21"/>
      <c r="J11" s="5"/>
      <c r="K11" s="22"/>
      <c r="L11" s="22"/>
      <c r="M11" s="20"/>
      <c r="N11" s="23" t="str">
        <f>IF(OR($F11&lt;&gt;"TRUC_DEM",$H11=""),"",(HOUR($H11)+MINUTE($H11)/60)+IF((HOUR($H11)+MINUTE($H11)/60)&lt;moc_chia_ngay,24,0))</f>
        <v/>
      </c>
      <c r="O11" s="23" t="str">
        <f>IF(OR($F11&lt;&gt;"TRUC_DEM",$I11=""),"",(HOUR($I11)+MINUTE($I11)/60)+IF((HOUR($I11)+MINUTE($I11)/60)&lt;moc_chia_ngay,24,0))</f>
        <v/>
      </c>
      <c r="P11" s="17" t="str">
        <f>IF($N11="","",MAX(0,MIN($O11,moc_loi_tu)-MAX($N11,moc_dem_tu))+MAX(0,MIN($O11,moc_dem_den)-MAX($N11,moc_loi_den)))</f>
        <v/>
      </c>
      <c r="Q11" s="17" t="str">
        <f>IF($N11="","",MAX(0,MIN($O11,moc_loi_den)-MAX($N11,moc_loi_tu)))</f>
        <v/>
      </c>
      <c r="R11" s="17" t="str">
        <f t="shared" si="0"/>
        <v/>
      </c>
      <c r="S11" s="4" t="str">
        <f t="shared" si="1"/>
        <v/>
      </c>
      <c r="T11" s="6">
        <f>IF($N11="",0,($P11*rate_gio_bien+$Q11*rate_gio_loi)*IF($G11="Lễ",he_so_le,1))</f>
        <v>0</v>
      </c>
      <c r="U11" s="6">
        <f>IF($N11="",0,IF($S11="Blaze",bca_blaze,IF($S11="Spark",bca_spark,0))*IF($G11="Lễ",he_so_le,1))</f>
        <v>0</v>
      </c>
      <c r="V11" s="24">
        <f t="shared" si="2"/>
        <v>0</v>
      </c>
      <c r="W11" s="24">
        <f>IF(OR($F11&lt;&gt;"OPS",$H11=""),0,ROUND(IF(AND($H11&gt;=TIME(6,0,0),$H11&lt;TIME(8,0,0)),ops_0600_0800,IF(AND($H11&gt;=TIME(8,0,0),$H11&lt;TIME(18,0,0)),ops_0800_1800,IF(AND($H11&gt;=TIME(18,0,0),$H11&lt;TIME(22,0,0)),ops_1800_2200,IF(OR($H11&gt;=TIME(22,0,0),$H11&lt;TIME(1,0,0)),ops_2200_0100,IF(AND($H11&gt;=TIME(1,0,0),$H11&lt;TIME(6,0,0)),ops_0100_0600,0)))))+IF($G11="Lễ",ops_phu_troi_le,0),0))</f>
        <v>0</v>
      </c>
      <c r="X11" s="16">
        <f t="shared" si="3"/>
        <v>0</v>
      </c>
      <c r="Y11" s="6" t="str">
        <f>IF(OR($F11&lt;&gt;"OPS",$K11=""),"",IF($K11&lt;=ops_kg_1nguoi,1,ops_nguoi_toi_da))</f>
        <v/>
      </c>
      <c r="Z11" s="15" t="str">
        <f t="shared" si="4"/>
        <v/>
      </c>
      <c r="AA11" s="5"/>
    </row>
    <row r="12" spans="2:27">
      <c r="B12" s="6" t="str">
        <f>IF($D12="","",7)</f>
        <v/>
      </c>
      <c r="C12" s="19"/>
      <c r="D12" s="20"/>
      <c r="E12" s="15" t="str">
        <f>IFERROR(VLOOKUP(D12,Assumption!$B$69:$C$80,2,0),"")</f>
        <v/>
      </c>
      <c r="F12" s="20"/>
      <c r="G12" s="20"/>
      <c r="H12" s="21"/>
      <c r="I12" s="21"/>
      <c r="J12" s="5"/>
      <c r="K12" s="22"/>
      <c r="L12" s="22"/>
      <c r="M12" s="20"/>
      <c r="N12" s="23" t="str">
        <f>IF(OR($F12&lt;&gt;"TRUC_DEM",$H12=""),"",(HOUR($H12)+MINUTE($H12)/60)+IF((HOUR($H12)+MINUTE($H12)/60)&lt;moc_chia_ngay,24,0))</f>
        <v/>
      </c>
      <c r="O12" s="23" t="str">
        <f>IF(OR($F12&lt;&gt;"TRUC_DEM",$I12=""),"",(HOUR($I12)+MINUTE($I12)/60)+IF((HOUR($I12)+MINUTE($I12)/60)&lt;moc_chia_ngay,24,0))</f>
        <v/>
      </c>
      <c r="P12" s="17" t="str">
        <f>IF($N12="","",MAX(0,MIN($O12,moc_loi_tu)-MAX($N12,moc_dem_tu))+MAX(0,MIN($O12,moc_dem_den)-MAX($N12,moc_loi_den)))</f>
        <v/>
      </c>
      <c r="Q12" s="17" t="str">
        <f>IF($N12="","",MAX(0,MIN($O12,moc_loi_den)-MAX($N12,moc_loi_tu)))</f>
        <v/>
      </c>
      <c r="R12" s="17" t="str">
        <f t="shared" si="0"/>
        <v/>
      </c>
      <c r="S12" s="4" t="str">
        <f t="shared" si="1"/>
        <v/>
      </c>
      <c r="T12" s="6">
        <f>IF($N12="",0,($P12*rate_gio_bien+$Q12*rate_gio_loi)*IF($G12="Lễ",he_so_le,1))</f>
        <v>0</v>
      </c>
      <c r="U12" s="6">
        <f>IF($N12="",0,IF($S12="Blaze",bca_blaze,IF($S12="Spark",bca_spark,0))*IF($G12="Lễ",he_so_le,1))</f>
        <v>0</v>
      </c>
      <c r="V12" s="24">
        <f t="shared" si="2"/>
        <v>0</v>
      </c>
      <c r="W12" s="24">
        <f>IF(OR($F12&lt;&gt;"OPS",$H12=""),0,ROUND(IF(AND($H12&gt;=TIME(6,0,0),$H12&lt;TIME(8,0,0)),ops_0600_0800,IF(AND($H12&gt;=TIME(8,0,0),$H12&lt;TIME(18,0,0)),ops_0800_1800,IF(AND($H12&gt;=TIME(18,0,0),$H12&lt;TIME(22,0,0)),ops_1800_2200,IF(OR($H12&gt;=TIME(22,0,0),$H12&lt;TIME(1,0,0)),ops_2200_0100,IF(AND($H12&gt;=TIME(1,0,0),$H12&lt;TIME(6,0,0)),ops_0100_0600,0)))))+IF($G12="Lễ",ops_phu_troi_le,0),0))</f>
        <v>0</v>
      </c>
      <c r="X12" s="16">
        <f t="shared" si="3"/>
        <v>0</v>
      </c>
      <c r="Y12" s="6" t="str">
        <f>IF(OR($F12&lt;&gt;"OPS",$K12=""),"",IF($K12&lt;=ops_kg_1nguoi,1,ops_nguoi_toi_da))</f>
        <v/>
      </c>
      <c r="Z12" s="15" t="str">
        <f t="shared" si="4"/>
        <v/>
      </c>
      <c r="AA12" s="5"/>
    </row>
    <row r="13" spans="2:27">
      <c r="B13" s="6" t="str">
        <f>IF($D13="","",8)</f>
        <v/>
      </c>
      <c r="C13" s="19"/>
      <c r="D13" s="20"/>
      <c r="E13" s="15" t="str">
        <f>IFERROR(VLOOKUP(D13,Assumption!$B$69:$C$80,2,0),"")</f>
        <v/>
      </c>
      <c r="F13" s="20"/>
      <c r="G13" s="20"/>
      <c r="H13" s="21"/>
      <c r="I13" s="21"/>
      <c r="J13" s="5"/>
      <c r="K13" s="22"/>
      <c r="L13" s="22"/>
      <c r="M13" s="20"/>
      <c r="N13" s="23" t="str">
        <f>IF(OR($F13&lt;&gt;"TRUC_DEM",$H13=""),"",(HOUR($H13)+MINUTE($H13)/60)+IF((HOUR($H13)+MINUTE($H13)/60)&lt;moc_chia_ngay,24,0))</f>
        <v/>
      </c>
      <c r="O13" s="23" t="str">
        <f>IF(OR($F13&lt;&gt;"TRUC_DEM",$I13=""),"",(HOUR($I13)+MINUTE($I13)/60)+IF((HOUR($I13)+MINUTE($I13)/60)&lt;moc_chia_ngay,24,0))</f>
        <v/>
      </c>
      <c r="P13" s="17" t="str">
        <f>IF($N13="","",MAX(0,MIN($O13,moc_loi_tu)-MAX($N13,moc_dem_tu))+MAX(0,MIN($O13,moc_dem_den)-MAX($N13,moc_loi_den)))</f>
        <v/>
      </c>
      <c r="Q13" s="17" t="str">
        <f>IF($N13="","",MAX(0,MIN($O13,moc_loi_den)-MAX($N13,moc_loi_tu)))</f>
        <v/>
      </c>
      <c r="R13" s="17" t="str">
        <f t="shared" si="0"/>
        <v/>
      </c>
      <c r="S13" s="4" t="str">
        <f t="shared" si="1"/>
        <v/>
      </c>
      <c r="T13" s="6">
        <f>IF($N13="",0,($P13*rate_gio_bien+$Q13*rate_gio_loi)*IF($G13="Lễ",he_so_le,1))</f>
        <v>0</v>
      </c>
      <c r="U13" s="6">
        <f>IF($N13="",0,IF($S13="Blaze",bca_blaze,IF($S13="Spark",bca_spark,0))*IF($G13="Lễ",he_so_le,1))</f>
        <v>0</v>
      </c>
      <c r="V13" s="24">
        <f t="shared" si="2"/>
        <v>0</v>
      </c>
      <c r="W13" s="24">
        <f>IF(OR($F13&lt;&gt;"OPS",$H13=""),0,ROUND(IF(AND($H13&gt;=TIME(6,0,0),$H13&lt;TIME(8,0,0)),ops_0600_0800,IF(AND($H13&gt;=TIME(8,0,0),$H13&lt;TIME(18,0,0)),ops_0800_1800,IF(AND($H13&gt;=TIME(18,0,0),$H13&lt;TIME(22,0,0)),ops_1800_2200,IF(OR($H13&gt;=TIME(22,0,0),$H13&lt;TIME(1,0,0)),ops_2200_0100,IF(AND($H13&gt;=TIME(1,0,0),$H13&lt;TIME(6,0,0)),ops_0100_0600,0)))))+IF($G13="Lễ",ops_phu_troi_le,0),0))</f>
        <v>0</v>
      </c>
      <c r="X13" s="16">
        <f t="shared" si="3"/>
        <v>0</v>
      </c>
      <c r="Y13" s="6" t="str">
        <f>IF(OR($F13&lt;&gt;"OPS",$K13=""),"",IF($K13&lt;=ops_kg_1nguoi,1,ops_nguoi_toi_da))</f>
        <v/>
      </c>
      <c r="Z13" s="15" t="str">
        <f t="shared" si="4"/>
        <v/>
      </c>
      <c r="AA13" s="5"/>
    </row>
    <row r="14" spans="2:27">
      <c r="B14" s="6" t="str">
        <f>IF($D14="","",9)</f>
        <v/>
      </c>
      <c r="C14" s="19"/>
      <c r="D14" s="20"/>
      <c r="E14" s="15" t="str">
        <f>IFERROR(VLOOKUP(D14,Assumption!$B$69:$C$80,2,0),"")</f>
        <v/>
      </c>
      <c r="F14" s="20"/>
      <c r="G14" s="20"/>
      <c r="H14" s="21"/>
      <c r="I14" s="21"/>
      <c r="J14" s="5"/>
      <c r="K14" s="22"/>
      <c r="L14" s="22"/>
      <c r="M14" s="20"/>
      <c r="N14" s="23" t="str">
        <f>IF(OR($F14&lt;&gt;"TRUC_DEM",$H14=""),"",(HOUR($H14)+MINUTE($H14)/60)+IF((HOUR($H14)+MINUTE($H14)/60)&lt;moc_chia_ngay,24,0))</f>
        <v/>
      </c>
      <c r="O14" s="23" t="str">
        <f>IF(OR($F14&lt;&gt;"TRUC_DEM",$I14=""),"",(HOUR($I14)+MINUTE($I14)/60)+IF((HOUR($I14)+MINUTE($I14)/60)&lt;moc_chia_ngay,24,0))</f>
        <v/>
      </c>
      <c r="P14" s="17" t="str">
        <f>IF($N14="","",MAX(0,MIN($O14,moc_loi_tu)-MAX($N14,moc_dem_tu))+MAX(0,MIN($O14,moc_dem_den)-MAX($N14,moc_loi_den)))</f>
        <v/>
      </c>
      <c r="Q14" s="17" t="str">
        <f>IF($N14="","",MAX(0,MIN($O14,moc_loi_den)-MAX($N14,moc_loi_tu)))</f>
        <v/>
      </c>
      <c r="R14" s="17" t="str">
        <f t="shared" si="0"/>
        <v/>
      </c>
      <c r="S14" s="4" t="str">
        <f t="shared" si="1"/>
        <v/>
      </c>
      <c r="T14" s="6">
        <f>IF($N14="",0,($P14*rate_gio_bien+$Q14*rate_gio_loi)*IF($G14="Lễ",he_so_le,1))</f>
        <v>0</v>
      </c>
      <c r="U14" s="6">
        <f>IF($N14="",0,IF($S14="Blaze",bca_blaze,IF($S14="Spark",bca_spark,0))*IF($G14="Lễ",he_so_le,1))</f>
        <v>0</v>
      </c>
      <c r="V14" s="24">
        <f t="shared" si="2"/>
        <v>0</v>
      </c>
      <c r="W14" s="24">
        <f>IF(OR($F14&lt;&gt;"OPS",$H14=""),0,ROUND(IF(AND($H14&gt;=TIME(6,0,0),$H14&lt;TIME(8,0,0)),ops_0600_0800,IF(AND($H14&gt;=TIME(8,0,0),$H14&lt;TIME(18,0,0)),ops_0800_1800,IF(AND($H14&gt;=TIME(18,0,0),$H14&lt;TIME(22,0,0)),ops_1800_2200,IF(OR($H14&gt;=TIME(22,0,0),$H14&lt;TIME(1,0,0)),ops_2200_0100,IF(AND($H14&gt;=TIME(1,0,0),$H14&lt;TIME(6,0,0)),ops_0100_0600,0)))))+IF($G14="Lễ",ops_phu_troi_le,0),0))</f>
        <v>0</v>
      </c>
      <c r="X14" s="16">
        <f t="shared" si="3"/>
        <v>0</v>
      </c>
      <c r="Y14" s="6" t="str">
        <f>IF(OR($F14&lt;&gt;"OPS",$K14=""),"",IF($K14&lt;=ops_kg_1nguoi,1,ops_nguoi_toi_da))</f>
        <v/>
      </c>
      <c r="Z14" s="15" t="str">
        <f t="shared" si="4"/>
        <v/>
      </c>
      <c r="AA14" s="5"/>
    </row>
    <row r="15" spans="2:27">
      <c r="B15" s="6" t="str">
        <f>IF($D15="","",10)</f>
        <v/>
      </c>
      <c r="C15" s="19"/>
      <c r="D15" s="20"/>
      <c r="E15" s="15" t="str">
        <f>IFERROR(VLOOKUP(D15,Assumption!$B$69:$C$80,2,0),"")</f>
        <v/>
      </c>
      <c r="F15" s="20"/>
      <c r="G15" s="20"/>
      <c r="H15" s="21"/>
      <c r="I15" s="21"/>
      <c r="J15" s="5"/>
      <c r="K15" s="22"/>
      <c r="L15" s="22"/>
      <c r="M15" s="20"/>
      <c r="N15" s="23" t="str">
        <f>IF(OR($F15&lt;&gt;"TRUC_DEM",$H15=""),"",(HOUR($H15)+MINUTE($H15)/60)+IF((HOUR($H15)+MINUTE($H15)/60)&lt;moc_chia_ngay,24,0))</f>
        <v/>
      </c>
      <c r="O15" s="23" t="str">
        <f>IF(OR($F15&lt;&gt;"TRUC_DEM",$I15=""),"",(HOUR($I15)+MINUTE($I15)/60)+IF((HOUR($I15)+MINUTE($I15)/60)&lt;moc_chia_ngay,24,0))</f>
        <v/>
      </c>
      <c r="P15" s="17" t="str">
        <f>IF($N15="","",MAX(0,MIN($O15,moc_loi_tu)-MAX($N15,moc_dem_tu))+MAX(0,MIN($O15,moc_dem_den)-MAX($N15,moc_loi_den)))</f>
        <v/>
      </c>
      <c r="Q15" s="17" t="str">
        <f>IF($N15="","",MAX(0,MIN($O15,moc_loi_den)-MAX($N15,moc_loi_tu)))</f>
        <v/>
      </c>
      <c r="R15" s="17" t="str">
        <f t="shared" si="0"/>
        <v/>
      </c>
      <c r="S15" s="4" t="str">
        <f t="shared" si="1"/>
        <v/>
      </c>
      <c r="T15" s="6">
        <f>IF($N15="",0,($P15*rate_gio_bien+$Q15*rate_gio_loi)*IF($G15="Lễ",he_so_le,1))</f>
        <v>0</v>
      </c>
      <c r="U15" s="6">
        <f>IF($N15="",0,IF($S15="Blaze",bca_blaze,IF($S15="Spark",bca_spark,0))*IF($G15="Lễ",he_so_le,1))</f>
        <v>0</v>
      </c>
      <c r="V15" s="24">
        <f t="shared" si="2"/>
        <v>0</v>
      </c>
      <c r="W15" s="24">
        <f>IF(OR($F15&lt;&gt;"OPS",$H15=""),0,ROUND(IF(AND($H15&gt;=TIME(6,0,0),$H15&lt;TIME(8,0,0)),ops_0600_0800,IF(AND($H15&gt;=TIME(8,0,0),$H15&lt;TIME(18,0,0)),ops_0800_1800,IF(AND($H15&gt;=TIME(18,0,0),$H15&lt;TIME(22,0,0)),ops_1800_2200,IF(OR($H15&gt;=TIME(22,0,0),$H15&lt;TIME(1,0,0)),ops_2200_0100,IF(AND($H15&gt;=TIME(1,0,0),$H15&lt;TIME(6,0,0)),ops_0100_0600,0)))))+IF($G15="Lễ",ops_phu_troi_le,0),0))</f>
        <v>0</v>
      </c>
      <c r="X15" s="16">
        <f t="shared" si="3"/>
        <v>0</v>
      </c>
      <c r="Y15" s="6" t="str">
        <f>IF(OR($F15&lt;&gt;"OPS",$K15=""),"",IF($K15&lt;=ops_kg_1nguoi,1,ops_nguoi_toi_da))</f>
        <v/>
      </c>
      <c r="Z15" s="15" t="str">
        <f t="shared" si="4"/>
        <v/>
      </c>
      <c r="AA15" s="5"/>
    </row>
    <row r="16" spans="2:27">
      <c r="B16" s="6" t="str">
        <f>IF($D16="","",11)</f>
        <v/>
      </c>
      <c r="C16" s="19"/>
      <c r="D16" s="20"/>
      <c r="E16" s="15" t="str">
        <f>IFERROR(VLOOKUP(D16,Assumption!$B$69:$C$80,2,0),"")</f>
        <v/>
      </c>
      <c r="F16" s="20"/>
      <c r="G16" s="20"/>
      <c r="H16" s="21"/>
      <c r="I16" s="21"/>
      <c r="J16" s="5"/>
      <c r="K16" s="22"/>
      <c r="L16" s="22"/>
      <c r="M16" s="20"/>
      <c r="N16" s="23" t="str">
        <f>IF(OR($F16&lt;&gt;"TRUC_DEM",$H16=""),"",(HOUR($H16)+MINUTE($H16)/60)+IF((HOUR($H16)+MINUTE($H16)/60)&lt;moc_chia_ngay,24,0))</f>
        <v/>
      </c>
      <c r="O16" s="23" t="str">
        <f>IF(OR($F16&lt;&gt;"TRUC_DEM",$I16=""),"",(HOUR($I16)+MINUTE($I16)/60)+IF((HOUR($I16)+MINUTE($I16)/60)&lt;moc_chia_ngay,24,0))</f>
        <v/>
      </c>
      <c r="P16" s="17" t="str">
        <f>IF($N16="","",MAX(0,MIN($O16,moc_loi_tu)-MAX($N16,moc_dem_tu))+MAX(0,MIN($O16,moc_dem_den)-MAX($N16,moc_loi_den)))</f>
        <v/>
      </c>
      <c r="Q16" s="17" t="str">
        <f>IF($N16="","",MAX(0,MIN($O16,moc_loi_den)-MAX($N16,moc_loi_tu)))</f>
        <v/>
      </c>
      <c r="R16" s="17" t="str">
        <f t="shared" si="0"/>
        <v/>
      </c>
      <c r="S16" s="4" t="str">
        <f t="shared" si="1"/>
        <v/>
      </c>
      <c r="T16" s="6">
        <f>IF($N16="",0,($P16*rate_gio_bien+$Q16*rate_gio_loi)*IF($G16="Lễ",he_so_le,1))</f>
        <v>0</v>
      </c>
      <c r="U16" s="6">
        <f>IF($N16="",0,IF($S16="Blaze",bca_blaze,IF($S16="Spark",bca_spark,0))*IF($G16="Lễ",he_so_le,1))</f>
        <v>0</v>
      </c>
      <c r="V16" s="24">
        <f t="shared" si="2"/>
        <v>0</v>
      </c>
      <c r="W16" s="24">
        <f>IF(OR($F16&lt;&gt;"OPS",$H16=""),0,ROUND(IF(AND($H16&gt;=TIME(6,0,0),$H16&lt;TIME(8,0,0)),ops_0600_0800,IF(AND($H16&gt;=TIME(8,0,0),$H16&lt;TIME(18,0,0)),ops_0800_1800,IF(AND($H16&gt;=TIME(18,0,0),$H16&lt;TIME(22,0,0)),ops_1800_2200,IF(OR($H16&gt;=TIME(22,0,0),$H16&lt;TIME(1,0,0)),ops_2200_0100,IF(AND($H16&gt;=TIME(1,0,0),$H16&lt;TIME(6,0,0)),ops_0100_0600,0)))))+IF($G16="Lễ",ops_phu_troi_le,0),0))</f>
        <v>0</v>
      </c>
      <c r="X16" s="16">
        <f t="shared" si="3"/>
        <v>0</v>
      </c>
      <c r="Y16" s="6" t="str">
        <f>IF(OR($F16&lt;&gt;"OPS",$K16=""),"",IF($K16&lt;=ops_kg_1nguoi,1,ops_nguoi_toi_da))</f>
        <v/>
      </c>
      <c r="Z16" s="15" t="str">
        <f t="shared" si="4"/>
        <v/>
      </c>
      <c r="AA16" s="5"/>
    </row>
    <row r="17" spans="2:27">
      <c r="B17" s="6" t="str">
        <f>IF($D17="","",12)</f>
        <v/>
      </c>
      <c r="C17" s="19"/>
      <c r="D17" s="20"/>
      <c r="E17" s="15" t="str">
        <f>IFERROR(VLOOKUP(D17,Assumption!$B$69:$C$80,2,0),"")</f>
        <v/>
      </c>
      <c r="F17" s="20"/>
      <c r="G17" s="20"/>
      <c r="H17" s="21"/>
      <c r="I17" s="21"/>
      <c r="J17" s="5"/>
      <c r="K17" s="22"/>
      <c r="L17" s="22"/>
      <c r="M17" s="20"/>
      <c r="N17" s="23" t="str">
        <f>IF(OR($F17&lt;&gt;"TRUC_DEM",$H17=""),"",(HOUR($H17)+MINUTE($H17)/60)+IF((HOUR($H17)+MINUTE($H17)/60)&lt;moc_chia_ngay,24,0))</f>
        <v/>
      </c>
      <c r="O17" s="23" t="str">
        <f>IF(OR($F17&lt;&gt;"TRUC_DEM",$I17=""),"",(HOUR($I17)+MINUTE($I17)/60)+IF((HOUR($I17)+MINUTE($I17)/60)&lt;moc_chia_ngay,24,0))</f>
        <v/>
      </c>
      <c r="P17" s="17" t="str">
        <f>IF($N17="","",MAX(0,MIN($O17,moc_loi_tu)-MAX($N17,moc_dem_tu))+MAX(0,MIN($O17,moc_dem_den)-MAX($N17,moc_loi_den)))</f>
        <v/>
      </c>
      <c r="Q17" s="17" t="str">
        <f>IF($N17="","",MAX(0,MIN($O17,moc_loi_den)-MAX($N17,moc_loi_tu)))</f>
        <v/>
      </c>
      <c r="R17" s="17" t="str">
        <f t="shared" si="0"/>
        <v/>
      </c>
      <c r="S17" s="4" t="str">
        <f t="shared" si="1"/>
        <v/>
      </c>
      <c r="T17" s="6">
        <f>IF($N17="",0,($P17*rate_gio_bien+$Q17*rate_gio_loi)*IF($G17="Lễ",he_so_le,1))</f>
        <v>0</v>
      </c>
      <c r="U17" s="6">
        <f>IF($N17="",0,IF($S17="Blaze",bca_blaze,IF($S17="Spark",bca_spark,0))*IF($G17="Lễ",he_so_le,1))</f>
        <v>0</v>
      </c>
      <c r="V17" s="24">
        <f t="shared" si="2"/>
        <v>0</v>
      </c>
      <c r="W17" s="24">
        <f>IF(OR($F17&lt;&gt;"OPS",$H17=""),0,ROUND(IF(AND($H17&gt;=TIME(6,0,0),$H17&lt;TIME(8,0,0)),ops_0600_0800,IF(AND($H17&gt;=TIME(8,0,0),$H17&lt;TIME(18,0,0)),ops_0800_1800,IF(AND($H17&gt;=TIME(18,0,0),$H17&lt;TIME(22,0,0)),ops_1800_2200,IF(OR($H17&gt;=TIME(22,0,0),$H17&lt;TIME(1,0,0)),ops_2200_0100,IF(AND($H17&gt;=TIME(1,0,0),$H17&lt;TIME(6,0,0)),ops_0100_0600,0)))))+IF($G17="Lễ",ops_phu_troi_le,0),0))</f>
        <v>0</v>
      </c>
      <c r="X17" s="16">
        <f t="shared" si="3"/>
        <v>0</v>
      </c>
      <c r="Y17" s="6" t="str">
        <f>IF(OR($F17&lt;&gt;"OPS",$K17=""),"",IF($K17&lt;=ops_kg_1nguoi,1,ops_nguoi_toi_da))</f>
        <v/>
      </c>
      <c r="Z17" s="15" t="str">
        <f t="shared" si="4"/>
        <v/>
      </c>
      <c r="AA17" s="5"/>
    </row>
    <row r="18" spans="2:27">
      <c r="B18" s="6" t="str">
        <f>IF($D18="","",13)</f>
        <v/>
      </c>
      <c r="C18" s="19"/>
      <c r="D18" s="20"/>
      <c r="E18" s="15" t="str">
        <f>IFERROR(VLOOKUP(D18,Assumption!$B$69:$C$80,2,0),"")</f>
        <v/>
      </c>
      <c r="F18" s="20"/>
      <c r="G18" s="20"/>
      <c r="H18" s="21"/>
      <c r="I18" s="21"/>
      <c r="J18" s="5"/>
      <c r="K18" s="22"/>
      <c r="L18" s="22"/>
      <c r="M18" s="20"/>
      <c r="N18" s="23" t="str">
        <f>IF(OR($F18&lt;&gt;"TRUC_DEM",$H18=""),"",(HOUR($H18)+MINUTE($H18)/60)+IF((HOUR($H18)+MINUTE($H18)/60)&lt;moc_chia_ngay,24,0))</f>
        <v/>
      </c>
      <c r="O18" s="23" t="str">
        <f>IF(OR($F18&lt;&gt;"TRUC_DEM",$I18=""),"",(HOUR($I18)+MINUTE($I18)/60)+IF((HOUR($I18)+MINUTE($I18)/60)&lt;moc_chia_ngay,24,0))</f>
        <v/>
      </c>
      <c r="P18" s="17" t="str">
        <f>IF($N18="","",MAX(0,MIN($O18,moc_loi_tu)-MAX($N18,moc_dem_tu))+MAX(0,MIN($O18,moc_dem_den)-MAX($N18,moc_loi_den)))</f>
        <v/>
      </c>
      <c r="Q18" s="17" t="str">
        <f>IF($N18="","",MAX(0,MIN($O18,moc_loi_den)-MAX($N18,moc_loi_tu)))</f>
        <v/>
      </c>
      <c r="R18" s="17" t="str">
        <f t="shared" si="0"/>
        <v/>
      </c>
      <c r="S18" s="4" t="str">
        <f t="shared" si="1"/>
        <v/>
      </c>
      <c r="T18" s="6">
        <f>IF($N18="",0,($P18*rate_gio_bien+$Q18*rate_gio_loi)*IF($G18="Lễ",he_so_le,1))</f>
        <v>0</v>
      </c>
      <c r="U18" s="6">
        <f>IF($N18="",0,IF($S18="Blaze",bca_blaze,IF($S18="Spark",bca_spark,0))*IF($G18="Lễ",he_so_le,1))</f>
        <v>0</v>
      </c>
      <c r="V18" s="24">
        <f t="shared" si="2"/>
        <v>0</v>
      </c>
      <c r="W18" s="24">
        <f>IF(OR($F18&lt;&gt;"OPS",$H18=""),0,ROUND(IF(AND($H18&gt;=TIME(6,0,0),$H18&lt;TIME(8,0,0)),ops_0600_0800,IF(AND($H18&gt;=TIME(8,0,0),$H18&lt;TIME(18,0,0)),ops_0800_1800,IF(AND($H18&gt;=TIME(18,0,0),$H18&lt;TIME(22,0,0)),ops_1800_2200,IF(OR($H18&gt;=TIME(22,0,0),$H18&lt;TIME(1,0,0)),ops_2200_0100,IF(AND($H18&gt;=TIME(1,0,0),$H18&lt;TIME(6,0,0)),ops_0100_0600,0)))))+IF($G18="Lễ",ops_phu_troi_le,0),0))</f>
        <v>0</v>
      </c>
      <c r="X18" s="16">
        <f t="shared" si="3"/>
        <v>0</v>
      </c>
      <c r="Y18" s="6" t="str">
        <f>IF(OR($F18&lt;&gt;"OPS",$K18=""),"",IF($K18&lt;=ops_kg_1nguoi,1,ops_nguoi_toi_da))</f>
        <v/>
      </c>
      <c r="Z18" s="15" t="str">
        <f t="shared" si="4"/>
        <v/>
      </c>
      <c r="AA18" s="5"/>
    </row>
    <row r="19" spans="2:27">
      <c r="B19" s="6" t="str">
        <f>IF($D19="","",14)</f>
        <v/>
      </c>
      <c r="C19" s="19"/>
      <c r="D19" s="20"/>
      <c r="E19" s="15" t="str">
        <f>IFERROR(VLOOKUP(D19,Assumption!$B$69:$C$80,2,0),"")</f>
        <v/>
      </c>
      <c r="F19" s="20"/>
      <c r="G19" s="20"/>
      <c r="H19" s="21"/>
      <c r="I19" s="21"/>
      <c r="J19" s="5"/>
      <c r="K19" s="22"/>
      <c r="L19" s="22"/>
      <c r="M19" s="20"/>
      <c r="N19" s="23" t="str">
        <f>IF(OR($F19&lt;&gt;"TRUC_DEM",$H19=""),"",(HOUR($H19)+MINUTE($H19)/60)+IF((HOUR($H19)+MINUTE($H19)/60)&lt;moc_chia_ngay,24,0))</f>
        <v/>
      </c>
      <c r="O19" s="23" t="str">
        <f>IF(OR($F19&lt;&gt;"TRUC_DEM",$I19=""),"",(HOUR($I19)+MINUTE($I19)/60)+IF((HOUR($I19)+MINUTE($I19)/60)&lt;moc_chia_ngay,24,0))</f>
        <v/>
      </c>
      <c r="P19" s="17" t="str">
        <f>IF($N19="","",MAX(0,MIN($O19,moc_loi_tu)-MAX($N19,moc_dem_tu))+MAX(0,MIN($O19,moc_dem_den)-MAX($N19,moc_loi_den)))</f>
        <v/>
      </c>
      <c r="Q19" s="17" t="str">
        <f>IF($N19="","",MAX(0,MIN($O19,moc_loi_den)-MAX($N19,moc_loi_tu)))</f>
        <v/>
      </c>
      <c r="R19" s="17" t="str">
        <f t="shared" si="0"/>
        <v/>
      </c>
      <c r="S19" s="4" t="str">
        <f t="shared" si="1"/>
        <v/>
      </c>
      <c r="T19" s="6">
        <f>IF($N19="",0,($P19*rate_gio_bien+$Q19*rate_gio_loi)*IF($G19="Lễ",he_so_le,1))</f>
        <v>0</v>
      </c>
      <c r="U19" s="6">
        <f>IF($N19="",0,IF($S19="Blaze",bca_blaze,IF($S19="Spark",bca_spark,0))*IF($G19="Lễ",he_so_le,1))</f>
        <v>0</v>
      </c>
      <c r="V19" s="24">
        <f t="shared" si="2"/>
        <v>0</v>
      </c>
      <c r="W19" s="24">
        <f>IF(OR($F19&lt;&gt;"OPS",$H19=""),0,ROUND(IF(AND($H19&gt;=TIME(6,0,0),$H19&lt;TIME(8,0,0)),ops_0600_0800,IF(AND($H19&gt;=TIME(8,0,0),$H19&lt;TIME(18,0,0)),ops_0800_1800,IF(AND($H19&gt;=TIME(18,0,0),$H19&lt;TIME(22,0,0)),ops_1800_2200,IF(OR($H19&gt;=TIME(22,0,0),$H19&lt;TIME(1,0,0)),ops_2200_0100,IF(AND($H19&gt;=TIME(1,0,0),$H19&lt;TIME(6,0,0)),ops_0100_0600,0)))))+IF($G19="Lễ",ops_phu_troi_le,0),0))</f>
        <v>0</v>
      </c>
      <c r="X19" s="16">
        <f t="shared" si="3"/>
        <v>0</v>
      </c>
      <c r="Y19" s="6" t="str">
        <f>IF(OR($F19&lt;&gt;"OPS",$K19=""),"",IF($K19&lt;=ops_kg_1nguoi,1,ops_nguoi_toi_da))</f>
        <v/>
      </c>
      <c r="Z19" s="15" t="str">
        <f t="shared" si="4"/>
        <v/>
      </c>
      <c r="AA19" s="5"/>
    </row>
    <row r="20" spans="2:27">
      <c r="B20" s="6" t="str">
        <f>IF($D20="","",15)</f>
        <v/>
      </c>
      <c r="C20" s="19"/>
      <c r="D20" s="20"/>
      <c r="E20" s="15" t="str">
        <f>IFERROR(VLOOKUP(D20,Assumption!$B$69:$C$80,2,0),"")</f>
        <v/>
      </c>
      <c r="F20" s="20"/>
      <c r="G20" s="20"/>
      <c r="H20" s="21"/>
      <c r="I20" s="21"/>
      <c r="J20" s="5"/>
      <c r="K20" s="22"/>
      <c r="L20" s="22"/>
      <c r="M20" s="20"/>
      <c r="N20" s="23" t="str">
        <f>IF(OR($F20&lt;&gt;"TRUC_DEM",$H20=""),"",(HOUR($H20)+MINUTE($H20)/60)+IF((HOUR($H20)+MINUTE($H20)/60)&lt;moc_chia_ngay,24,0))</f>
        <v/>
      </c>
      <c r="O20" s="23" t="str">
        <f>IF(OR($F20&lt;&gt;"TRUC_DEM",$I20=""),"",(HOUR($I20)+MINUTE($I20)/60)+IF((HOUR($I20)+MINUTE($I20)/60)&lt;moc_chia_ngay,24,0))</f>
        <v/>
      </c>
      <c r="P20" s="17" t="str">
        <f>IF($N20="","",MAX(0,MIN($O20,moc_loi_tu)-MAX($N20,moc_dem_tu))+MAX(0,MIN($O20,moc_dem_den)-MAX($N20,moc_loi_den)))</f>
        <v/>
      </c>
      <c r="Q20" s="17" t="str">
        <f>IF($N20="","",MAX(0,MIN($O20,moc_loi_den)-MAX($N20,moc_loi_tu)))</f>
        <v/>
      </c>
      <c r="R20" s="17" t="str">
        <f t="shared" si="0"/>
        <v/>
      </c>
      <c r="S20" s="4" t="str">
        <f t="shared" si="1"/>
        <v/>
      </c>
      <c r="T20" s="6">
        <f>IF($N20="",0,($P20*rate_gio_bien+$Q20*rate_gio_loi)*IF($G20="Lễ",he_so_le,1))</f>
        <v>0</v>
      </c>
      <c r="U20" s="6">
        <f>IF($N20="",0,IF($S20="Blaze",bca_blaze,IF($S20="Spark",bca_spark,0))*IF($G20="Lễ",he_so_le,1))</f>
        <v>0</v>
      </c>
      <c r="V20" s="24">
        <f t="shared" si="2"/>
        <v>0</v>
      </c>
      <c r="W20" s="24">
        <f>IF(OR($F20&lt;&gt;"OPS",$H20=""),0,ROUND(IF(AND($H20&gt;=TIME(6,0,0),$H20&lt;TIME(8,0,0)),ops_0600_0800,IF(AND($H20&gt;=TIME(8,0,0),$H20&lt;TIME(18,0,0)),ops_0800_1800,IF(AND($H20&gt;=TIME(18,0,0),$H20&lt;TIME(22,0,0)),ops_1800_2200,IF(OR($H20&gt;=TIME(22,0,0),$H20&lt;TIME(1,0,0)),ops_2200_0100,IF(AND($H20&gt;=TIME(1,0,0),$H20&lt;TIME(6,0,0)),ops_0100_0600,0)))))+IF($G20="Lễ",ops_phu_troi_le,0),0))</f>
        <v>0</v>
      </c>
      <c r="X20" s="16">
        <f t="shared" si="3"/>
        <v>0</v>
      </c>
      <c r="Y20" s="6" t="str">
        <f>IF(OR($F20&lt;&gt;"OPS",$K20=""),"",IF($K20&lt;=ops_kg_1nguoi,1,ops_nguoi_toi_da))</f>
        <v/>
      </c>
      <c r="Z20" s="15" t="str">
        <f t="shared" si="4"/>
        <v/>
      </c>
      <c r="AA20" s="5"/>
    </row>
    <row r="21" spans="2:27">
      <c r="B21" s="6" t="str">
        <f>IF($D21="","",16)</f>
        <v/>
      </c>
      <c r="C21" s="19"/>
      <c r="D21" s="20"/>
      <c r="E21" s="15" t="str">
        <f>IFERROR(VLOOKUP(D21,Assumption!$B$69:$C$80,2,0),"")</f>
        <v/>
      </c>
      <c r="F21" s="20"/>
      <c r="G21" s="20"/>
      <c r="H21" s="21"/>
      <c r="I21" s="21"/>
      <c r="J21" s="5"/>
      <c r="K21" s="22"/>
      <c r="L21" s="22"/>
      <c r="M21" s="20"/>
      <c r="N21" s="23" t="str">
        <f>IF(OR($F21&lt;&gt;"TRUC_DEM",$H21=""),"",(HOUR($H21)+MINUTE($H21)/60)+IF((HOUR($H21)+MINUTE($H21)/60)&lt;moc_chia_ngay,24,0))</f>
        <v/>
      </c>
      <c r="O21" s="23" t="str">
        <f>IF(OR($F21&lt;&gt;"TRUC_DEM",$I21=""),"",(HOUR($I21)+MINUTE($I21)/60)+IF((HOUR($I21)+MINUTE($I21)/60)&lt;moc_chia_ngay,24,0))</f>
        <v/>
      </c>
      <c r="P21" s="17" t="str">
        <f>IF($N21="","",MAX(0,MIN($O21,moc_loi_tu)-MAX($N21,moc_dem_tu))+MAX(0,MIN($O21,moc_dem_den)-MAX($N21,moc_loi_den)))</f>
        <v/>
      </c>
      <c r="Q21" s="17" t="str">
        <f>IF($N21="","",MAX(0,MIN($O21,moc_loi_den)-MAX($N21,moc_loi_tu)))</f>
        <v/>
      </c>
      <c r="R21" s="17" t="str">
        <f t="shared" si="0"/>
        <v/>
      </c>
      <c r="S21" s="4" t="str">
        <f t="shared" si="1"/>
        <v/>
      </c>
      <c r="T21" s="6">
        <f>IF($N21="",0,($P21*rate_gio_bien+$Q21*rate_gio_loi)*IF($G21="Lễ",he_so_le,1))</f>
        <v>0</v>
      </c>
      <c r="U21" s="6">
        <f>IF($N21="",0,IF($S21="Blaze",bca_blaze,IF($S21="Spark",bca_spark,0))*IF($G21="Lễ",he_so_le,1))</f>
        <v>0</v>
      </c>
      <c r="V21" s="24">
        <f t="shared" si="2"/>
        <v>0</v>
      </c>
      <c r="W21" s="24">
        <f>IF(OR($F21&lt;&gt;"OPS",$H21=""),0,ROUND(IF(AND($H21&gt;=TIME(6,0,0),$H21&lt;TIME(8,0,0)),ops_0600_0800,IF(AND($H21&gt;=TIME(8,0,0),$H21&lt;TIME(18,0,0)),ops_0800_1800,IF(AND($H21&gt;=TIME(18,0,0),$H21&lt;TIME(22,0,0)),ops_1800_2200,IF(OR($H21&gt;=TIME(22,0,0),$H21&lt;TIME(1,0,0)),ops_2200_0100,IF(AND($H21&gt;=TIME(1,0,0),$H21&lt;TIME(6,0,0)),ops_0100_0600,0)))))+IF($G21="Lễ",ops_phu_troi_le,0),0))</f>
        <v>0</v>
      </c>
      <c r="X21" s="16">
        <f t="shared" si="3"/>
        <v>0</v>
      </c>
      <c r="Y21" s="6" t="str">
        <f>IF(OR($F21&lt;&gt;"OPS",$K21=""),"",IF($K21&lt;=ops_kg_1nguoi,1,ops_nguoi_toi_da))</f>
        <v/>
      </c>
      <c r="Z21" s="15" t="str">
        <f t="shared" si="4"/>
        <v/>
      </c>
      <c r="AA21" s="5"/>
    </row>
    <row r="22" spans="2:27">
      <c r="B22" s="6" t="str">
        <f>IF($D22="","",17)</f>
        <v/>
      </c>
      <c r="C22" s="19"/>
      <c r="D22" s="20"/>
      <c r="E22" s="15" t="str">
        <f>IFERROR(VLOOKUP(D22,Assumption!$B$69:$C$80,2,0),"")</f>
        <v/>
      </c>
      <c r="F22" s="20"/>
      <c r="G22" s="20"/>
      <c r="H22" s="21"/>
      <c r="I22" s="21"/>
      <c r="J22" s="5"/>
      <c r="K22" s="22"/>
      <c r="L22" s="22"/>
      <c r="M22" s="20"/>
      <c r="N22" s="23" t="str">
        <f>IF(OR($F22&lt;&gt;"TRUC_DEM",$H22=""),"",(HOUR($H22)+MINUTE($H22)/60)+IF((HOUR($H22)+MINUTE($H22)/60)&lt;moc_chia_ngay,24,0))</f>
        <v/>
      </c>
      <c r="O22" s="23" t="str">
        <f>IF(OR($F22&lt;&gt;"TRUC_DEM",$I22=""),"",(HOUR($I22)+MINUTE($I22)/60)+IF((HOUR($I22)+MINUTE($I22)/60)&lt;moc_chia_ngay,24,0))</f>
        <v/>
      </c>
      <c r="P22" s="17" t="str">
        <f>IF($N22="","",MAX(0,MIN($O22,moc_loi_tu)-MAX($N22,moc_dem_tu))+MAX(0,MIN($O22,moc_dem_den)-MAX($N22,moc_loi_den)))</f>
        <v/>
      </c>
      <c r="Q22" s="17" t="str">
        <f>IF($N22="","",MAX(0,MIN($O22,moc_loi_den)-MAX($N22,moc_loi_tu)))</f>
        <v/>
      </c>
      <c r="R22" s="17" t="str">
        <f t="shared" si="0"/>
        <v/>
      </c>
      <c r="S22" s="4" t="str">
        <f t="shared" si="1"/>
        <v/>
      </c>
      <c r="T22" s="6">
        <f>IF($N22="",0,($P22*rate_gio_bien+$Q22*rate_gio_loi)*IF($G22="Lễ",he_so_le,1))</f>
        <v>0</v>
      </c>
      <c r="U22" s="6">
        <f>IF($N22="",0,IF($S22="Blaze",bca_blaze,IF($S22="Spark",bca_spark,0))*IF($G22="Lễ",he_so_le,1))</f>
        <v>0</v>
      </c>
      <c r="V22" s="24">
        <f t="shared" si="2"/>
        <v>0</v>
      </c>
      <c r="W22" s="24">
        <f>IF(OR($F22&lt;&gt;"OPS",$H22=""),0,ROUND(IF(AND($H22&gt;=TIME(6,0,0),$H22&lt;TIME(8,0,0)),ops_0600_0800,IF(AND($H22&gt;=TIME(8,0,0),$H22&lt;TIME(18,0,0)),ops_0800_1800,IF(AND($H22&gt;=TIME(18,0,0),$H22&lt;TIME(22,0,0)),ops_1800_2200,IF(OR($H22&gt;=TIME(22,0,0),$H22&lt;TIME(1,0,0)),ops_2200_0100,IF(AND($H22&gt;=TIME(1,0,0),$H22&lt;TIME(6,0,0)),ops_0100_0600,0)))))+IF($G22="Lễ",ops_phu_troi_le,0),0))</f>
        <v>0</v>
      </c>
      <c r="X22" s="16">
        <f t="shared" si="3"/>
        <v>0</v>
      </c>
      <c r="Y22" s="6" t="str">
        <f>IF(OR($F22&lt;&gt;"OPS",$K22=""),"",IF($K22&lt;=ops_kg_1nguoi,1,ops_nguoi_toi_da))</f>
        <v/>
      </c>
      <c r="Z22" s="15" t="str">
        <f t="shared" si="4"/>
        <v/>
      </c>
      <c r="AA22" s="5"/>
    </row>
    <row r="23" spans="2:27">
      <c r="B23" s="6" t="str">
        <f>IF($D23="","",18)</f>
        <v/>
      </c>
      <c r="C23" s="19"/>
      <c r="D23" s="20"/>
      <c r="E23" s="15" t="str">
        <f>IFERROR(VLOOKUP(D23,Assumption!$B$69:$C$80,2,0),"")</f>
        <v/>
      </c>
      <c r="F23" s="20"/>
      <c r="G23" s="20"/>
      <c r="H23" s="21"/>
      <c r="I23" s="21"/>
      <c r="J23" s="5"/>
      <c r="K23" s="22"/>
      <c r="L23" s="22"/>
      <c r="M23" s="20"/>
      <c r="N23" s="23" t="str">
        <f>IF(OR($F23&lt;&gt;"TRUC_DEM",$H23=""),"",(HOUR($H23)+MINUTE($H23)/60)+IF((HOUR($H23)+MINUTE($H23)/60)&lt;moc_chia_ngay,24,0))</f>
        <v/>
      </c>
      <c r="O23" s="23" t="str">
        <f>IF(OR($F23&lt;&gt;"TRUC_DEM",$I23=""),"",(HOUR($I23)+MINUTE($I23)/60)+IF((HOUR($I23)+MINUTE($I23)/60)&lt;moc_chia_ngay,24,0))</f>
        <v/>
      </c>
      <c r="P23" s="17" t="str">
        <f>IF($N23="","",MAX(0,MIN($O23,moc_loi_tu)-MAX($N23,moc_dem_tu))+MAX(0,MIN($O23,moc_dem_den)-MAX($N23,moc_loi_den)))</f>
        <v/>
      </c>
      <c r="Q23" s="17" t="str">
        <f>IF($N23="","",MAX(0,MIN($O23,moc_loi_den)-MAX($N23,moc_loi_tu)))</f>
        <v/>
      </c>
      <c r="R23" s="17" t="str">
        <f t="shared" si="0"/>
        <v/>
      </c>
      <c r="S23" s="4" t="str">
        <f t="shared" si="1"/>
        <v/>
      </c>
      <c r="T23" s="6">
        <f>IF($N23="",0,($P23*rate_gio_bien+$Q23*rate_gio_loi)*IF($G23="Lễ",he_so_le,1))</f>
        <v>0</v>
      </c>
      <c r="U23" s="6">
        <f>IF($N23="",0,IF($S23="Blaze",bca_blaze,IF($S23="Spark",bca_spark,0))*IF($G23="Lễ",he_so_le,1))</f>
        <v>0</v>
      </c>
      <c r="V23" s="24">
        <f t="shared" si="2"/>
        <v>0</v>
      </c>
      <c r="W23" s="24">
        <f>IF(OR($F23&lt;&gt;"OPS",$H23=""),0,ROUND(IF(AND($H23&gt;=TIME(6,0,0),$H23&lt;TIME(8,0,0)),ops_0600_0800,IF(AND($H23&gt;=TIME(8,0,0),$H23&lt;TIME(18,0,0)),ops_0800_1800,IF(AND($H23&gt;=TIME(18,0,0),$H23&lt;TIME(22,0,0)),ops_1800_2200,IF(OR($H23&gt;=TIME(22,0,0),$H23&lt;TIME(1,0,0)),ops_2200_0100,IF(AND($H23&gt;=TIME(1,0,0),$H23&lt;TIME(6,0,0)),ops_0100_0600,0)))))+IF($G23="Lễ",ops_phu_troi_le,0),0))</f>
        <v>0</v>
      </c>
      <c r="X23" s="16">
        <f t="shared" si="3"/>
        <v>0</v>
      </c>
      <c r="Y23" s="6" t="str">
        <f>IF(OR($F23&lt;&gt;"OPS",$K23=""),"",IF($K23&lt;=ops_kg_1nguoi,1,ops_nguoi_toi_da))</f>
        <v/>
      </c>
      <c r="Z23" s="15" t="str">
        <f t="shared" si="4"/>
        <v/>
      </c>
      <c r="AA23" s="5"/>
    </row>
    <row r="24" spans="2:27">
      <c r="B24" s="6" t="str">
        <f>IF($D24="","",19)</f>
        <v/>
      </c>
      <c r="C24" s="19"/>
      <c r="D24" s="20"/>
      <c r="E24" s="15" t="str">
        <f>IFERROR(VLOOKUP(D24,Assumption!$B$69:$C$80,2,0),"")</f>
        <v/>
      </c>
      <c r="F24" s="20"/>
      <c r="G24" s="20"/>
      <c r="H24" s="21"/>
      <c r="I24" s="21"/>
      <c r="J24" s="5"/>
      <c r="K24" s="22"/>
      <c r="L24" s="22"/>
      <c r="M24" s="20"/>
      <c r="N24" s="23" t="str">
        <f>IF(OR($F24&lt;&gt;"TRUC_DEM",$H24=""),"",(HOUR($H24)+MINUTE($H24)/60)+IF((HOUR($H24)+MINUTE($H24)/60)&lt;moc_chia_ngay,24,0))</f>
        <v/>
      </c>
      <c r="O24" s="23" t="str">
        <f>IF(OR($F24&lt;&gt;"TRUC_DEM",$I24=""),"",(HOUR($I24)+MINUTE($I24)/60)+IF((HOUR($I24)+MINUTE($I24)/60)&lt;moc_chia_ngay,24,0))</f>
        <v/>
      </c>
      <c r="P24" s="17" t="str">
        <f>IF($N24="","",MAX(0,MIN($O24,moc_loi_tu)-MAX($N24,moc_dem_tu))+MAX(0,MIN($O24,moc_dem_den)-MAX($N24,moc_loi_den)))</f>
        <v/>
      </c>
      <c r="Q24" s="17" t="str">
        <f>IF($N24="","",MAX(0,MIN($O24,moc_loi_den)-MAX($N24,moc_loi_tu)))</f>
        <v/>
      </c>
      <c r="R24" s="17" t="str">
        <f t="shared" si="0"/>
        <v/>
      </c>
      <c r="S24" s="4" t="str">
        <f t="shared" si="1"/>
        <v/>
      </c>
      <c r="T24" s="6">
        <f>IF($N24="",0,($P24*rate_gio_bien+$Q24*rate_gio_loi)*IF($G24="Lễ",he_so_le,1))</f>
        <v>0</v>
      </c>
      <c r="U24" s="6">
        <f>IF($N24="",0,IF($S24="Blaze",bca_blaze,IF($S24="Spark",bca_spark,0))*IF($G24="Lễ",he_so_le,1))</f>
        <v>0</v>
      </c>
      <c r="V24" s="24">
        <f t="shared" si="2"/>
        <v>0</v>
      </c>
      <c r="W24" s="24">
        <f>IF(OR($F24&lt;&gt;"OPS",$H24=""),0,ROUND(IF(AND($H24&gt;=TIME(6,0,0),$H24&lt;TIME(8,0,0)),ops_0600_0800,IF(AND($H24&gt;=TIME(8,0,0),$H24&lt;TIME(18,0,0)),ops_0800_1800,IF(AND($H24&gt;=TIME(18,0,0),$H24&lt;TIME(22,0,0)),ops_1800_2200,IF(OR($H24&gt;=TIME(22,0,0),$H24&lt;TIME(1,0,0)),ops_2200_0100,IF(AND($H24&gt;=TIME(1,0,0),$H24&lt;TIME(6,0,0)),ops_0100_0600,0)))))+IF($G24="Lễ",ops_phu_troi_le,0),0))</f>
        <v>0</v>
      </c>
      <c r="X24" s="16">
        <f t="shared" si="3"/>
        <v>0</v>
      </c>
      <c r="Y24" s="6" t="str">
        <f>IF(OR($F24&lt;&gt;"OPS",$K24=""),"",IF($K24&lt;=ops_kg_1nguoi,1,ops_nguoi_toi_da))</f>
        <v/>
      </c>
      <c r="Z24" s="15" t="str">
        <f t="shared" si="4"/>
        <v/>
      </c>
      <c r="AA24" s="5"/>
    </row>
    <row r="25" spans="2:27">
      <c r="B25" s="6" t="str">
        <f>IF($D25="","",20)</f>
        <v/>
      </c>
      <c r="C25" s="19"/>
      <c r="D25" s="20"/>
      <c r="E25" s="15" t="str">
        <f>IFERROR(VLOOKUP(D25,Assumption!$B$69:$C$80,2,0),"")</f>
        <v/>
      </c>
      <c r="F25" s="20"/>
      <c r="G25" s="20"/>
      <c r="H25" s="21"/>
      <c r="I25" s="21"/>
      <c r="J25" s="5"/>
      <c r="K25" s="22"/>
      <c r="L25" s="22"/>
      <c r="M25" s="20"/>
      <c r="N25" s="23" t="str">
        <f>IF(OR($F25&lt;&gt;"TRUC_DEM",$H25=""),"",(HOUR($H25)+MINUTE($H25)/60)+IF((HOUR($H25)+MINUTE($H25)/60)&lt;moc_chia_ngay,24,0))</f>
        <v/>
      </c>
      <c r="O25" s="23" t="str">
        <f>IF(OR($F25&lt;&gt;"TRUC_DEM",$I25=""),"",(HOUR($I25)+MINUTE($I25)/60)+IF((HOUR($I25)+MINUTE($I25)/60)&lt;moc_chia_ngay,24,0))</f>
        <v/>
      </c>
      <c r="P25" s="17" t="str">
        <f>IF($N25="","",MAX(0,MIN($O25,moc_loi_tu)-MAX($N25,moc_dem_tu))+MAX(0,MIN($O25,moc_dem_den)-MAX($N25,moc_loi_den)))</f>
        <v/>
      </c>
      <c r="Q25" s="17" t="str">
        <f>IF($N25="","",MAX(0,MIN($O25,moc_loi_den)-MAX($N25,moc_loi_tu)))</f>
        <v/>
      </c>
      <c r="R25" s="17" t="str">
        <f t="shared" si="0"/>
        <v/>
      </c>
      <c r="S25" s="4" t="str">
        <f t="shared" si="1"/>
        <v/>
      </c>
      <c r="T25" s="6">
        <f>IF($N25="",0,($P25*rate_gio_bien+$Q25*rate_gio_loi)*IF($G25="Lễ",he_so_le,1))</f>
        <v>0</v>
      </c>
      <c r="U25" s="6">
        <f>IF($N25="",0,IF($S25="Blaze",bca_blaze,IF($S25="Spark",bca_spark,0))*IF($G25="Lễ",he_so_le,1))</f>
        <v>0</v>
      </c>
      <c r="V25" s="24">
        <f t="shared" si="2"/>
        <v>0</v>
      </c>
      <c r="W25" s="24">
        <f>IF(OR($F25&lt;&gt;"OPS",$H25=""),0,ROUND(IF(AND($H25&gt;=TIME(6,0,0),$H25&lt;TIME(8,0,0)),ops_0600_0800,IF(AND($H25&gt;=TIME(8,0,0),$H25&lt;TIME(18,0,0)),ops_0800_1800,IF(AND($H25&gt;=TIME(18,0,0),$H25&lt;TIME(22,0,0)),ops_1800_2200,IF(OR($H25&gt;=TIME(22,0,0),$H25&lt;TIME(1,0,0)),ops_2200_0100,IF(AND($H25&gt;=TIME(1,0,0),$H25&lt;TIME(6,0,0)),ops_0100_0600,0)))))+IF($G25="Lễ",ops_phu_troi_le,0),0))</f>
        <v>0</v>
      </c>
      <c r="X25" s="16">
        <f t="shared" si="3"/>
        <v>0</v>
      </c>
      <c r="Y25" s="6" t="str">
        <f>IF(OR($F25&lt;&gt;"OPS",$K25=""),"",IF($K25&lt;=ops_kg_1nguoi,1,ops_nguoi_toi_da))</f>
        <v/>
      </c>
      <c r="Z25" s="15" t="str">
        <f t="shared" si="4"/>
        <v/>
      </c>
      <c r="AA25" s="5"/>
    </row>
    <row r="26" spans="2:27">
      <c r="B26" s="6" t="str">
        <f>IF($D26="","",21)</f>
        <v/>
      </c>
      <c r="C26" s="19"/>
      <c r="D26" s="20"/>
      <c r="E26" s="15" t="str">
        <f>IFERROR(VLOOKUP(D26,Assumption!$B$69:$C$80,2,0),"")</f>
        <v/>
      </c>
      <c r="F26" s="20"/>
      <c r="G26" s="20"/>
      <c r="H26" s="21"/>
      <c r="I26" s="21"/>
      <c r="J26" s="5"/>
      <c r="K26" s="22"/>
      <c r="L26" s="22"/>
      <c r="M26" s="20"/>
      <c r="N26" s="23" t="str">
        <f>IF(OR($F26&lt;&gt;"TRUC_DEM",$H26=""),"",(HOUR($H26)+MINUTE($H26)/60)+IF((HOUR($H26)+MINUTE($H26)/60)&lt;moc_chia_ngay,24,0))</f>
        <v/>
      </c>
      <c r="O26" s="23" t="str">
        <f>IF(OR($F26&lt;&gt;"TRUC_DEM",$I26=""),"",(HOUR($I26)+MINUTE($I26)/60)+IF((HOUR($I26)+MINUTE($I26)/60)&lt;moc_chia_ngay,24,0))</f>
        <v/>
      </c>
      <c r="P26" s="17" t="str">
        <f>IF($N26="","",MAX(0,MIN($O26,moc_loi_tu)-MAX($N26,moc_dem_tu))+MAX(0,MIN($O26,moc_dem_den)-MAX($N26,moc_loi_den)))</f>
        <v/>
      </c>
      <c r="Q26" s="17" t="str">
        <f>IF($N26="","",MAX(0,MIN($O26,moc_loi_den)-MAX($N26,moc_loi_tu)))</f>
        <v/>
      </c>
      <c r="R26" s="17" t="str">
        <f t="shared" si="0"/>
        <v/>
      </c>
      <c r="S26" s="4" t="str">
        <f t="shared" si="1"/>
        <v/>
      </c>
      <c r="T26" s="6">
        <f>IF($N26="",0,($P26*rate_gio_bien+$Q26*rate_gio_loi)*IF($G26="Lễ",he_so_le,1))</f>
        <v>0</v>
      </c>
      <c r="U26" s="6">
        <f>IF($N26="",0,IF($S26="Blaze",bca_blaze,IF($S26="Spark",bca_spark,0))*IF($G26="Lễ",he_so_le,1))</f>
        <v>0</v>
      </c>
      <c r="V26" s="24">
        <f t="shared" si="2"/>
        <v>0</v>
      </c>
      <c r="W26" s="24">
        <f>IF(OR($F26&lt;&gt;"OPS",$H26=""),0,ROUND(IF(AND($H26&gt;=TIME(6,0,0),$H26&lt;TIME(8,0,0)),ops_0600_0800,IF(AND($H26&gt;=TIME(8,0,0),$H26&lt;TIME(18,0,0)),ops_0800_1800,IF(AND($H26&gt;=TIME(18,0,0),$H26&lt;TIME(22,0,0)),ops_1800_2200,IF(OR($H26&gt;=TIME(22,0,0),$H26&lt;TIME(1,0,0)),ops_2200_0100,IF(AND($H26&gt;=TIME(1,0,0),$H26&lt;TIME(6,0,0)),ops_0100_0600,0)))))+IF($G26="Lễ",ops_phu_troi_le,0),0))</f>
        <v>0</v>
      </c>
      <c r="X26" s="16">
        <f t="shared" si="3"/>
        <v>0</v>
      </c>
      <c r="Y26" s="6" t="str">
        <f>IF(OR($F26&lt;&gt;"OPS",$K26=""),"",IF($K26&lt;=ops_kg_1nguoi,1,ops_nguoi_toi_da))</f>
        <v/>
      </c>
      <c r="Z26" s="15" t="str">
        <f t="shared" si="4"/>
        <v/>
      </c>
      <c r="AA26" s="5"/>
    </row>
    <row r="27" spans="2:27">
      <c r="B27" s="6" t="str">
        <f>IF($D27="","",22)</f>
        <v/>
      </c>
      <c r="C27" s="19"/>
      <c r="D27" s="20"/>
      <c r="E27" s="15" t="str">
        <f>IFERROR(VLOOKUP(D27,Assumption!$B$69:$C$80,2,0),"")</f>
        <v/>
      </c>
      <c r="F27" s="20"/>
      <c r="G27" s="20"/>
      <c r="H27" s="21"/>
      <c r="I27" s="21"/>
      <c r="J27" s="5"/>
      <c r="K27" s="22"/>
      <c r="L27" s="22"/>
      <c r="M27" s="20"/>
      <c r="N27" s="23" t="str">
        <f>IF(OR($F27&lt;&gt;"TRUC_DEM",$H27=""),"",(HOUR($H27)+MINUTE($H27)/60)+IF((HOUR($H27)+MINUTE($H27)/60)&lt;moc_chia_ngay,24,0))</f>
        <v/>
      </c>
      <c r="O27" s="23" t="str">
        <f>IF(OR($F27&lt;&gt;"TRUC_DEM",$I27=""),"",(HOUR($I27)+MINUTE($I27)/60)+IF((HOUR($I27)+MINUTE($I27)/60)&lt;moc_chia_ngay,24,0))</f>
        <v/>
      </c>
      <c r="P27" s="17" t="str">
        <f>IF($N27="","",MAX(0,MIN($O27,moc_loi_tu)-MAX($N27,moc_dem_tu))+MAX(0,MIN($O27,moc_dem_den)-MAX($N27,moc_loi_den)))</f>
        <v/>
      </c>
      <c r="Q27" s="17" t="str">
        <f>IF($N27="","",MAX(0,MIN($O27,moc_loi_den)-MAX($N27,moc_loi_tu)))</f>
        <v/>
      </c>
      <c r="R27" s="17" t="str">
        <f t="shared" si="0"/>
        <v/>
      </c>
      <c r="S27" s="4" t="str">
        <f t="shared" si="1"/>
        <v/>
      </c>
      <c r="T27" s="6">
        <f>IF($N27="",0,($P27*rate_gio_bien+$Q27*rate_gio_loi)*IF($G27="Lễ",he_so_le,1))</f>
        <v>0</v>
      </c>
      <c r="U27" s="6">
        <f>IF($N27="",0,IF($S27="Blaze",bca_blaze,IF($S27="Spark",bca_spark,0))*IF($G27="Lễ",he_so_le,1))</f>
        <v>0</v>
      </c>
      <c r="V27" s="24">
        <f t="shared" si="2"/>
        <v>0</v>
      </c>
      <c r="W27" s="24">
        <f>IF(OR($F27&lt;&gt;"OPS",$H27=""),0,ROUND(IF(AND($H27&gt;=TIME(6,0,0),$H27&lt;TIME(8,0,0)),ops_0600_0800,IF(AND($H27&gt;=TIME(8,0,0),$H27&lt;TIME(18,0,0)),ops_0800_1800,IF(AND($H27&gt;=TIME(18,0,0),$H27&lt;TIME(22,0,0)),ops_1800_2200,IF(OR($H27&gt;=TIME(22,0,0),$H27&lt;TIME(1,0,0)),ops_2200_0100,IF(AND($H27&gt;=TIME(1,0,0),$H27&lt;TIME(6,0,0)),ops_0100_0600,0)))))+IF($G27="Lễ",ops_phu_troi_le,0),0))</f>
        <v>0</v>
      </c>
      <c r="X27" s="16">
        <f t="shared" si="3"/>
        <v>0</v>
      </c>
      <c r="Y27" s="6" t="str">
        <f>IF(OR($F27&lt;&gt;"OPS",$K27=""),"",IF($K27&lt;=ops_kg_1nguoi,1,ops_nguoi_toi_da))</f>
        <v/>
      </c>
      <c r="Z27" s="15" t="str">
        <f t="shared" si="4"/>
        <v/>
      </c>
      <c r="AA27" s="5"/>
    </row>
    <row r="28" spans="2:27">
      <c r="B28" s="6" t="str">
        <f>IF($D28="","",23)</f>
        <v/>
      </c>
      <c r="C28" s="19"/>
      <c r="D28" s="20"/>
      <c r="E28" s="15" t="str">
        <f>IFERROR(VLOOKUP(D28,Assumption!$B$69:$C$80,2,0),"")</f>
        <v/>
      </c>
      <c r="F28" s="20"/>
      <c r="G28" s="20"/>
      <c r="H28" s="21"/>
      <c r="I28" s="21"/>
      <c r="J28" s="5"/>
      <c r="K28" s="22"/>
      <c r="L28" s="22"/>
      <c r="M28" s="20"/>
      <c r="N28" s="23" t="str">
        <f>IF(OR($F28&lt;&gt;"TRUC_DEM",$H28=""),"",(HOUR($H28)+MINUTE($H28)/60)+IF((HOUR($H28)+MINUTE($H28)/60)&lt;moc_chia_ngay,24,0))</f>
        <v/>
      </c>
      <c r="O28" s="23" t="str">
        <f>IF(OR($F28&lt;&gt;"TRUC_DEM",$I28=""),"",(HOUR($I28)+MINUTE($I28)/60)+IF((HOUR($I28)+MINUTE($I28)/60)&lt;moc_chia_ngay,24,0))</f>
        <v/>
      </c>
      <c r="P28" s="17" t="str">
        <f>IF($N28="","",MAX(0,MIN($O28,moc_loi_tu)-MAX($N28,moc_dem_tu))+MAX(0,MIN($O28,moc_dem_den)-MAX($N28,moc_loi_den)))</f>
        <v/>
      </c>
      <c r="Q28" s="17" t="str">
        <f>IF($N28="","",MAX(0,MIN($O28,moc_loi_den)-MAX($N28,moc_loi_tu)))</f>
        <v/>
      </c>
      <c r="R28" s="17" t="str">
        <f t="shared" si="0"/>
        <v/>
      </c>
      <c r="S28" s="4" t="str">
        <f t="shared" si="1"/>
        <v/>
      </c>
      <c r="T28" s="6">
        <f>IF($N28="",0,($P28*rate_gio_bien+$Q28*rate_gio_loi)*IF($G28="Lễ",he_so_le,1))</f>
        <v>0</v>
      </c>
      <c r="U28" s="6">
        <f>IF($N28="",0,IF($S28="Blaze",bca_blaze,IF($S28="Spark",bca_spark,0))*IF($G28="Lễ",he_so_le,1))</f>
        <v>0</v>
      </c>
      <c r="V28" s="24">
        <f t="shared" si="2"/>
        <v>0</v>
      </c>
      <c r="W28" s="24">
        <f>IF(OR($F28&lt;&gt;"OPS",$H28=""),0,ROUND(IF(AND($H28&gt;=TIME(6,0,0),$H28&lt;TIME(8,0,0)),ops_0600_0800,IF(AND($H28&gt;=TIME(8,0,0),$H28&lt;TIME(18,0,0)),ops_0800_1800,IF(AND($H28&gt;=TIME(18,0,0),$H28&lt;TIME(22,0,0)),ops_1800_2200,IF(OR($H28&gt;=TIME(22,0,0),$H28&lt;TIME(1,0,0)),ops_2200_0100,IF(AND($H28&gt;=TIME(1,0,0),$H28&lt;TIME(6,0,0)),ops_0100_0600,0)))))+IF($G28="Lễ",ops_phu_troi_le,0),0))</f>
        <v>0</v>
      </c>
      <c r="X28" s="16">
        <f t="shared" si="3"/>
        <v>0</v>
      </c>
      <c r="Y28" s="6" t="str">
        <f>IF(OR($F28&lt;&gt;"OPS",$K28=""),"",IF($K28&lt;=ops_kg_1nguoi,1,ops_nguoi_toi_da))</f>
        <v/>
      </c>
      <c r="Z28" s="15" t="str">
        <f t="shared" si="4"/>
        <v/>
      </c>
      <c r="AA28" s="5"/>
    </row>
    <row r="29" spans="2:27">
      <c r="B29" s="6" t="str">
        <f>IF($D29="","",24)</f>
        <v/>
      </c>
      <c r="C29" s="19"/>
      <c r="D29" s="20"/>
      <c r="E29" s="15" t="str">
        <f>IFERROR(VLOOKUP(D29,Assumption!$B$69:$C$80,2,0),"")</f>
        <v/>
      </c>
      <c r="F29" s="20"/>
      <c r="G29" s="20"/>
      <c r="H29" s="21"/>
      <c r="I29" s="21"/>
      <c r="J29" s="5"/>
      <c r="K29" s="22"/>
      <c r="L29" s="22"/>
      <c r="M29" s="20"/>
      <c r="N29" s="23" t="str">
        <f>IF(OR($F29&lt;&gt;"TRUC_DEM",$H29=""),"",(HOUR($H29)+MINUTE($H29)/60)+IF((HOUR($H29)+MINUTE($H29)/60)&lt;moc_chia_ngay,24,0))</f>
        <v/>
      </c>
      <c r="O29" s="23" t="str">
        <f>IF(OR($F29&lt;&gt;"TRUC_DEM",$I29=""),"",(HOUR($I29)+MINUTE($I29)/60)+IF((HOUR($I29)+MINUTE($I29)/60)&lt;moc_chia_ngay,24,0))</f>
        <v/>
      </c>
      <c r="P29" s="17" t="str">
        <f>IF($N29="","",MAX(0,MIN($O29,moc_loi_tu)-MAX($N29,moc_dem_tu))+MAX(0,MIN($O29,moc_dem_den)-MAX($N29,moc_loi_den)))</f>
        <v/>
      </c>
      <c r="Q29" s="17" t="str">
        <f>IF($N29="","",MAX(0,MIN($O29,moc_loi_den)-MAX($N29,moc_loi_tu)))</f>
        <v/>
      </c>
      <c r="R29" s="17" t="str">
        <f t="shared" si="0"/>
        <v/>
      </c>
      <c r="S29" s="4" t="str">
        <f t="shared" si="1"/>
        <v/>
      </c>
      <c r="T29" s="6">
        <f>IF($N29="",0,($P29*rate_gio_bien+$Q29*rate_gio_loi)*IF($G29="Lễ",he_so_le,1))</f>
        <v>0</v>
      </c>
      <c r="U29" s="6">
        <f>IF($N29="",0,IF($S29="Blaze",bca_blaze,IF($S29="Spark",bca_spark,0))*IF($G29="Lễ",he_so_le,1))</f>
        <v>0</v>
      </c>
      <c r="V29" s="24">
        <f t="shared" si="2"/>
        <v>0</v>
      </c>
      <c r="W29" s="24">
        <f>IF(OR($F29&lt;&gt;"OPS",$H29=""),0,ROUND(IF(AND($H29&gt;=TIME(6,0,0),$H29&lt;TIME(8,0,0)),ops_0600_0800,IF(AND($H29&gt;=TIME(8,0,0),$H29&lt;TIME(18,0,0)),ops_0800_1800,IF(AND($H29&gt;=TIME(18,0,0),$H29&lt;TIME(22,0,0)),ops_1800_2200,IF(OR($H29&gt;=TIME(22,0,0),$H29&lt;TIME(1,0,0)),ops_2200_0100,IF(AND($H29&gt;=TIME(1,0,0),$H29&lt;TIME(6,0,0)),ops_0100_0600,0)))))+IF($G29="Lễ",ops_phu_troi_le,0),0))</f>
        <v>0</v>
      </c>
      <c r="X29" s="16">
        <f t="shared" si="3"/>
        <v>0</v>
      </c>
      <c r="Y29" s="6" t="str">
        <f>IF(OR($F29&lt;&gt;"OPS",$K29=""),"",IF($K29&lt;=ops_kg_1nguoi,1,ops_nguoi_toi_da))</f>
        <v/>
      </c>
      <c r="Z29" s="15" t="str">
        <f t="shared" si="4"/>
        <v/>
      </c>
      <c r="AA29" s="5"/>
    </row>
    <row r="30" spans="2:27">
      <c r="B30" s="6" t="str">
        <f>IF($D30="","",25)</f>
        <v/>
      </c>
      <c r="C30" s="19"/>
      <c r="D30" s="20"/>
      <c r="E30" s="15" t="str">
        <f>IFERROR(VLOOKUP(D30,Assumption!$B$69:$C$80,2,0),"")</f>
        <v/>
      </c>
      <c r="F30" s="20"/>
      <c r="G30" s="20"/>
      <c r="H30" s="21"/>
      <c r="I30" s="21"/>
      <c r="J30" s="5"/>
      <c r="K30" s="22"/>
      <c r="L30" s="22"/>
      <c r="M30" s="20"/>
      <c r="N30" s="23" t="str">
        <f>IF(OR($F30&lt;&gt;"TRUC_DEM",$H30=""),"",(HOUR($H30)+MINUTE($H30)/60)+IF((HOUR($H30)+MINUTE($H30)/60)&lt;moc_chia_ngay,24,0))</f>
        <v/>
      </c>
      <c r="O30" s="23" t="str">
        <f>IF(OR($F30&lt;&gt;"TRUC_DEM",$I30=""),"",(HOUR($I30)+MINUTE($I30)/60)+IF((HOUR($I30)+MINUTE($I30)/60)&lt;moc_chia_ngay,24,0))</f>
        <v/>
      </c>
      <c r="P30" s="17" t="str">
        <f>IF($N30="","",MAX(0,MIN($O30,moc_loi_tu)-MAX($N30,moc_dem_tu))+MAX(0,MIN($O30,moc_dem_den)-MAX($N30,moc_loi_den)))</f>
        <v/>
      </c>
      <c r="Q30" s="17" t="str">
        <f>IF($N30="","",MAX(0,MIN($O30,moc_loi_den)-MAX($N30,moc_loi_tu)))</f>
        <v/>
      </c>
      <c r="R30" s="17" t="str">
        <f t="shared" si="0"/>
        <v/>
      </c>
      <c r="S30" s="4" t="str">
        <f t="shared" si="1"/>
        <v/>
      </c>
      <c r="T30" s="6">
        <f>IF($N30="",0,($P30*rate_gio_bien+$Q30*rate_gio_loi)*IF($G30="Lễ",he_so_le,1))</f>
        <v>0</v>
      </c>
      <c r="U30" s="6">
        <f>IF($N30="",0,IF($S30="Blaze",bca_blaze,IF($S30="Spark",bca_spark,0))*IF($G30="Lễ",he_so_le,1))</f>
        <v>0</v>
      </c>
      <c r="V30" s="24">
        <f t="shared" si="2"/>
        <v>0</v>
      </c>
      <c r="W30" s="24">
        <f>IF(OR($F30&lt;&gt;"OPS",$H30=""),0,ROUND(IF(AND($H30&gt;=TIME(6,0,0),$H30&lt;TIME(8,0,0)),ops_0600_0800,IF(AND($H30&gt;=TIME(8,0,0),$H30&lt;TIME(18,0,0)),ops_0800_1800,IF(AND($H30&gt;=TIME(18,0,0),$H30&lt;TIME(22,0,0)),ops_1800_2200,IF(OR($H30&gt;=TIME(22,0,0),$H30&lt;TIME(1,0,0)),ops_2200_0100,IF(AND($H30&gt;=TIME(1,0,0),$H30&lt;TIME(6,0,0)),ops_0100_0600,0)))))+IF($G30="Lễ",ops_phu_troi_le,0),0))</f>
        <v>0</v>
      </c>
      <c r="X30" s="16">
        <f t="shared" si="3"/>
        <v>0</v>
      </c>
      <c r="Y30" s="6" t="str">
        <f>IF(OR($F30&lt;&gt;"OPS",$K30=""),"",IF($K30&lt;=ops_kg_1nguoi,1,ops_nguoi_toi_da))</f>
        <v/>
      </c>
      <c r="Z30" s="15" t="str">
        <f t="shared" si="4"/>
        <v/>
      </c>
      <c r="AA30" s="5"/>
    </row>
    <row r="31" spans="2:27">
      <c r="B31" s="6" t="str">
        <f>IF($D31="","",26)</f>
        <v/>
      </c>
      <c r="C31" s="19"/>
      <c r="D31" s="20"/>
      <c r="E31" s="15" t="str">
        <f>IFERROR(VLOOKUP(D31,Assumption!$B$69:$C$80,2,0),"")</f>
        <v/>
      </c>
      <c r="F31" s="20"/>
      <c r="G31" s="20"/>
      <c r="H31" s="21"/>
      <c r="I31" s="21"/>
      <c r="J31" s="5"/>
      <c r="K31" s="22"/>
      <c r="L31" s="22"/>
      <c r="M31" s="20"/>
      <c r="N31" s="23" t="str">
        <f>IF(OR($F31&lt;&gt;"TRUC_DEM",$H31=""),"",(HOUR($H31)+MINUTE($H31)/60)+IF((HOUR($H31)+MINUTE($H31)/60)&lt;moc_chia_ngay,24,0))</f>
        <v/>
      </c>
      <c r="O31" s="23" t="str">
        <f>IF(OR($F31&lt;&gt;"TRUC_DEM",$I31=""),"",(HOUR($I31)+MINUTE($I31)/60)+IF((HOUR($I31)+MINUTE($I31)/60)&lt;moc_chia_ngay,24,0))</f>
        <v/>
      </c>
      <c r="P31" s="17" t="str">
        <f>IF($N31="","",MAX(0,MIN($O31,moc_loi_tu)-MAX($N31,moc_dem_tu))+MAX(0,MIN($O31,moc_dem_den)-MAX($N31,moc_loi_den)))</f>
        <v/>
      </c>
      <c r="Q31" s="17" t="str">
        <f>IF($N31="","",MAX(0,MIN($O31,moc_loi_den)-MAX($N31,moc_loi_tu)))</f>
        <v/>
      </c>
      <c r="R31" s="17" t="str">
        <f t="shared" si="0"/>
        <v/>
      </c>
      <c r="S31" s="4" t="str">
        <f t="shared" si="1"/>
        <v/>
      </c>
      <c r="T31" s="6">
        <f>IF($N31="",0,($P31*rate_gio_bien+$Q31*rate_gio_loi)*IF($G31="Lễ",he_so_le,1))</f>
        <v>0</v>
      </c>
      <c r="U31" s="6">
        <f>IF($N31="",0,IF($S31="Blaze",bca_blaze,IF($S31="Spark",bca_spark,0))*IF($G31="Lễ",he_so_le,1))</f>
        <v>0</v>
      </c>
      <c r="V31" s="24">
        <f t="shared" si="2"/>
        <v>0</v>
      </c>
      <c r="W31" s="24">
        <f>IF(OR($F31&lt;&gt;"OPS",$H31=""),0,ROUND(IF(AND($H31&gt;=TIME(6,0,0),$H31&lt;TIME(8,0,0)),ops_0600_0800,IF(AND($H31&gt;=TIME(8,0,0),$H31&lt;TIME(18,0,0)),ops_0800_1800,IF(AND($H31&gt;=TIME(18,0,0),$H31&lt;TIME(22,0,0)),ops_1800_2200,IF(OR($H31&gt;=TIME(22,0,0),$H31&lt;TIME(1,0,0)),ops_2200_0100,IF(AND($H31&gt;=TIME(1,0,0),$H31&lt;TIME(6,0,0)),ops_0100_0600,0)))))+IF($G31="Lễ",ops_phu_troi_le,0),0))</f>
        <v>0</v>
      </c>
      <c r="X31" s="16">
        <f t="shared" si="3"/>
        <v>0</v>
      </c>
      <c r="Y31" s="6" t="str">
        <f>IF(OR($F31&lt;&gt;"OPS",$K31=""),"",IF($K31&lt;=ops_kg_1nguoi,1,ops_nguoi_toi_da))</f>
        <v/>
      </c>
      <c r="Z31" s="15" t="str">
        <f t="shared" si="4"/>
        <v/>
      </c>
      <c r="AA31" s="5"/>
    </row>
    <row r="32" spans="2:27">
      <c r="B32" s="6" t="str">
        <f>IF($D32="","",27)</f>
        <v/>
      </c>
      <c r="C32" s="19"/>
      <c r="D32" s="20"/>
      <c r="E32" s="15" t="str">
        <f>IFERROR(VLOOKUP(D32,Assumption!$B$69:$C$80,2,0),"")</f>
        <v/>
      </c>
      <c r="F32" s="20"/>
      <c r="G32" s="20"/>
      <c r="H32" s="21"/>
      <c r="I32" s="21"/>
      <c r="J32" s="5"/>
      <c r="K32" s="22"/>
      <c r="L32" s="22"/>
      <c r="M32" s="20"/>
      <c r="N32" s="23" t="str">
        <f>IF(OR($F32&lt;&gt;"TRUC_DEM",$H32=""),"",(HOUR($H32)+MINUTE($H32)/60)+IF((HOUR($H32)+MINUTE($H32)/60)&lt;moc_chia_ngay,24,0))</f>
        <v/>
      </c>
      <c r="O32" s="23" t="str">
        <f>IF(OR($F32&lt;&gt;"TRUC_DEM",$I32=""),"",(HOUR($I32)+MINUTE($I32)/60)+IF((HOUR($I32)+MINUTE($I32)/60)&lt;moc_chia_ngay,24,0))</f>
        <v/>
      </c>
      <c r="P32" s="17" t="str">
        <f>IF($N32="","",MAX(0,MIN($O32,moc_loi_tu)-MAX($N32,moc_dem_tu))+MAX(0,MIN($O32,moc_dem_den)-MAX($N32,moc_loi_den)))</f>
        <v/>
      </c>
      <c r="Q32" s="17" t="str">
        <f>IF($N32="","",MAX(0,MIN($O32,moc_loi_den)-MAX($N32,moc_loi_tu)))</f>
        <v/>
      </c>
      <c r="R32" s="17" t="str">
        <f t="shared" si="0"/>
        <v/>
      </c>
      <c r="S32" s="4" t="str">
        <f t="shared" si="1"/>
        <v/>
      </c>
      <c r="T32" s="6">
        <f>IF($N32="",0,($P32*rate_gio_bien+$Q32*rate_gio_loi)*IF($G32="Lễ",he_so_le,1))</f>
        <v>0</v>
      </c>
      <c r="U32" s="6">
        <f>IF($N32="",0,IF($S32="Blaze",bca_blaze,IF($S32="Spark",bca_spark,0))*IF($G32="Lễ",he_so_le,1))</f>
        <v>0</v>
      </c>
      <c r="V32" s="24">
        <f t="shared" si="2"/>
        <v>0</v>
      </c>
      <c r="W32" s="24">
        <f>IF(OR($F32&lt;&gt;"OPS",$H32=""),0,ROUND(IF(AND($H32&gt;=TIME(6,0,0),$H32&lt;TIME(8,0,0)),ops_0600_0800,IF(AND($H32&gt;=TIME(8,0,0),$H32&lt;TIME(18,0,0)),ops_0800_1800,IF(AND($H32&gt;=TIME(18,0,0),$H32&lt;TIME(22,0,0)),ops_1800_2200,IF(OR($H32&gt;=TIME(22,0,0),$H32&lt;TIME(1,0,0)),ops_2200_0100,IF(AND($H32&gt;=TIME(1,0,0),$H32&lt;TIME(6,0,0)),ops_0100_0600,0)))))+IF($G32="Lễ",ops_phu_troi_le,0),0))</f>
        <v>0</v>
      </c>
      <c r="X32" s="16">
        <f t="shared" si="3"/>
        <v>0</v>
      </c>
      <c r="Y32" s="6" t="str">
        <f>IF(OR($F32&lt;&gt;"OPS",$K32=""),"",IF($K32&lt;=ops_kg_1nguoi,1,ops_nguoi_toi_da))</f>
        <v/>
      </c>
      <c r="Z32" s="15" t="str">
        <f t="shared" si="4"/>
        <v/>
      </c>
      <c r="AA32" s="5"/>
    </row>
    <row r="33" spans="2:27">
      <c r="B33" s="6" t="str">
        <f>IF($D33="","",28)</f>
        <v/>
      </c>
      <c r="C33" s="19"/>
      <c r="D33" s="20"/>
      <c r="E33" s="15" t="str">
        <f>IFERROR(VLOOKUP(D33,Assumption!$B$69:$C$80,2,0),"")</f>
        <v/>
      </c>
      <c r="F33" s="20"/>
      <c r="G33" s="20"/>
      <c r="H33" s="21"/>
      <c r="I33" s="21"/>
      <c r="J33" s="5"/>
      <c r="K33" s="22"/>
      <c r="L33" s="22"/>
      <c r="M33" s="20"/>
      <c r="N33" s="23" t="str">
        <f>IF(OR($F33&lt;&gt;"TRUC_DEM",$H33=""),"",(HOUR($H33)+MINUTE($H33)/60)+IF((HOUR($H33)+MINUTE($H33)/60)&lt;moc_chia_ngay,24,0))</f>
        <v/>
      </c>
      <c r="O33" s="23" t="str">
        <f>IF(OR($F33&lt;&gt;"TRUC_DEM",$I33=""),"",(HOUR($I33)+MINUTE($I33)/60)+IF((HOUR($I33)+MINUTE($I33)/60)&lt;moc_chia_ngay,24,0))</f>
        <v/>
      </c>
      <c r="P33" s="17" t="str">
        <f>IF($N33="","",MAX(0,MIN($O33,moc_loi_tu)-MAX($N33,moc_dem_tu))+MAX(0,MIN($O33,moc_dem_den)-MAX($N33,moc_loi_den)))</f>
        <v/>
      </c>
      <c r="Q33" s="17" t="str">
        <f>IF($N33="","",MAX(0,MIN($O33,moc_loi_den)-MAX($N33,moc_loi_tu)))</f>
        <v/>
      </c>
      <c r="R33" s="17" t="str">
        <f t="shared" si="0"/>
        <v/>
      </c>
      <c r="S33" s="4" t="str">
        <f t="shared" si="1"/>
        <v/>
      </c>
      <c r="T33" s="6">
        <f>IF($N33="",0,($P33*rate_gio_bien+$Q33*rate_gio_loi)*IF($G33="Lễ",he_so_le,1))</f>
        <v>0</v>
      </c>
      <c r="U33" s="6">
        <f>IF($N33="",0,IF($S33="Blaze",bca_blaze,IF($S33="Spark",bca_spark,0))*IF($G33="Lễ",he_so_le,1))</f>
        <v>0</v>
      </c>
      <c r="V33" s="24">
        <f t="shared" si="2"/>
        <v>0</v>
      </c>
      <c r="W33" s="24">
        <f>IF(OR($F33&lt;&gt;"OPS",$H33=""),0,ROUND(IF(AND($H33&gt;=TIME(6,0,0),$H33&lt;TIME(8,0,0)),ops_0600_0800,IF(AND($H33&gt;=TIME(8,0,0),$H33&lt;TIME(18,0,0)),ops_0800_1800,IF(AND($H33&gt;=TIME(18,0,0),$H33&lt;TIME(22,0,0)),ops_1800_2200,IF(OR($H33&gt;=TIME(22,0,0),$H33&lt;TIME(1,0,0)),ops_2200_0100,IF(AND($H33&gt;=TIME(1,0,0),$H33&lt;TIME(6,0,0)),ops_0100_0600,0)))))+IF($G33="Lễ",ops_phu_troi_le,0),0))</f>
        <v>0</v>
      </c>
      <c r="X33" s="16">
        <f t="shared" si="3"/>
        <v>0</v>
      </c>
      <c r="Y33" s="6" t="str">
        <f>IF(OR($F33&lt;&gt;"OPS",$K33=""),"",IF($K33&lt;=ops_kg_1nguoi,1,ops_nguoi_toi_da))</f>
        <v/>
      </c>
      <c r="Z33" s="15" t="str">
        <f t="shared" si="4"/>
        <v/>
      </c>
      <c r="AA33" s="5"/>
    </row>
    <row r="34" spans="2:27">
      <c r="B34" s="6" t="str">
        <f>IF($D34="","",29)</f>
        <v/>
      </c>
      <c r="C34" s="19"/>
      <c r="D34" s="20"/>
      <c r="E34" s="15" t="str">
        <f>IFERROR(VLOOKUP(D34,Assumption!$B$69:$C$80,2,0),"")</f>
        <v/>
      </c>
      <c r="F34" s="20"/>
      <c r="G34" s="20"/>
      <c r="H34" s="21"/>
      <c r="I34" s="21"/>
      <c r="J34" s="5"/>
      <c r="K34" s="22"/>
      <c r="L34" s="22"/>
      <c r="M34" s="20"/>
      <c r="N34" s="23" t="str">
        <f>IF(OR($F34&lt;&gt;"TRUC_DEM",$H34=""),"",(HOUR($H34)+MINUTE($H34)/60)+IF((HOUR($H34)+MINUTE($H34)/60)&lt;moc_chia_ngay,24,0))</f>
        <v/>
      </c>
      <c r="O34" s="23" t="str">
        <f>IF(OR($F34&lt;&gt;"TRUC_DEM",$I34=""),"",(HOUR($I34)+MINUTE($I34)/60)+IF((HOUR($I34)+MINUTE($I34)/60)&lt;moc_chia_ngay,24,0))</f>
        <v/>
      </c>
      <c r="P34" s="17" t="str">
        <f>IF($N34="","",MAX(0,MIN($O34,moc_loi_tu)-MAX($N34,moc_dem_tu))+MAX(0,MIN($O34,moc_dem_den)-MAX($N34,moc_loi_den)))</f>
        <v/>
      </c>
      <c r="Q34" s="17" t="str">
        <f>IF($N34="","",MAX(0,MIN($O34,moc_loi_den)-MAX($N34,moc_loi_tu)))</f>
        <v/>
      </c>
      <c r="R34" s="17" t="str">
        <f t="shared" si="0"/>
        <v/>
      </c>
      <c r="S34" s="4" t="str">
        <f t="shared" si="1"/>
        <v/>
      </c>
      <c r="T34" s="6">
        <f>IF($N34="",0,($P34*rate_gio_bien+$Q34*rate_gio_loi)*IF($G34="Lễ",he_so_le,1))</f>
        <v>0</v>
      </c>
      <c r="U34" s="6">
        <f>IF($N34="",0,IF($S34="Blaze",bca_blaze,IF($S34="Spark",bca_spark,0))*IF($G34="Lễ",he_so_le,1))</f>
        <v>0</v>
      </c>
      <c r="V34" s="24">
        <f t="shared" si="2"/>
        <v>0</v>
      </c>
      <c r="W34" s="24">
        <f>IF(OR($F34&lt;&gt;"OPS",$H34=""),0,ROUND(IF(AND($H34&gt;=TIME(6,0,0),$H34&lt;TIME(8,0,0)),ops_0600_0800,IF(AND($H34&gt;=TIME(8,0,0),$H34&lt;TIME(18,0,0)),ops_0800_1800,IF(AND($H34&gt;=TIME(18,0,0),$H34&lt;TIME(22,0,0)),ops_1800_2200,IF(OR($H34&gt;=TIME(22,0,0),$H34&lt;TIME(1,0,0)),ops_2200_0100,IF(AND($H34&gt;=TIME(1,0,0),$H34&lt;TIME(6,0,0)),ops_0100_0600,0)))))+IF($G34="Lễ",ops_phu_troi_le,0),0))</f>
        <v>0</v>
      </c>
      <c r="X34" s="16">
        <f t="shared" si="3"/>
        <v>0</v>
      </c>
      <c r="Y34" s="6" t="str">
        <f>IF(OR($F34&lt;&gt;"OPS",$K34=""),"",IF($K34&lt;=ops_kg_1nguoi,1,ops_nguoi_toi_da))</f>
        <v/>
      </c>
      <c r="Z34" s="15" t="str">
        <f t="shared" si="4"/>
        <v/>
      </c>
      <c r="AA34" s="5"/>
    </row>
    <row r="35" spans="2:27">
      <c r="B35" s="6" t="str">
        <f>IF($D35="","",30)</f>
        <v/>
      </c>
      <c r="C35" s="19"/>
      <c r="D35" s="20"/>
      <c r="E35" s="15" t="str">
        <f>IFERROR(VLOOKUP(D35,Assumption!$B$69:$C$80,2,0),"")</f>
        <v/>
      </c>
      <c r="F35" s="20"/>
      <c r="G35" s="20"/>
      <c r="H35" s="21"/>
      <c r="I35" s="21"/>
      <c r="J35" s="5"/>
      <c r="K35" s="22"/>
      <c r="L35" s="22"/>
      <c r="M35" s="20"/>
      <c r="N35" s="23" t="str">
        <f>IF(OR($F35&lt;&gt;"TRUC_DEM",$H35=""),"",(HOUR($H35)+MINUTE($H35)/60)+IF((HOUR($H35)+MINUTE($H35)/60)&lt;moc_chia_ngay,24,0))</f>
        <v/>
      </c>
      <c r="O35" s="23" t="str">
        <f>IF(OR($F35&lt;&gt;"TRUC_DEM",$I35=""),"",(HOUR($I35)+MINUTE($I35)/60)+IF((HOUR($I35)+MINUTE($I35)/60)&lt;moc_chia_ngay,24,0))</f>
        <v/>
      </c>
      <c r="P35" s="17" t="str">
        <f>IF($N35="","",MAX(0,MIN($O35,moc_loi_tu)-MAX($N35,moc_dem_tu))+MAX(0,MIN($O35,moc_dem_den)-MAX($N35,moc_loi_den)))</f>
        <v/>
      </c>
      <c r="Q35" s="17" t="str">
        <f>IF($N35="","",MAX(0,MIN($O35,moc_loi_den)-MAX($N35,moc_loi_tu)))</f>
        <v/>
      </c>
      <c r="R35" s="17" t="str">
        <f t="shared" si="0"/>
        <v/>
      </c>
      <c r="S35" s="4" t="str">
        <f t="shared" si="1"/>
        <v/>
      </c>
      <c r="T35" s="6">
        <f>IF($N35="",0,($P35*rate_gio_bien+$Q35*rate_gio_loi)*IF($G35="Lễ",he_so_le,1))</f>
        <v>0</v>
      </c>
      <c r="U35" s="6">
        <f>IF($N35="",0,IF($S35="Blaze",bca_blaze,IF($S35="Spark",bca_spark,0))*IF($G35="Lễ",he_so_le,1))</f>
        <v>0</v>
      </c>
      <c r="V35" s="24">
        <f t="shared" si="2"/>
        <v>0</v>
      </c>
      <c r="W35" s="24">
        <f>IF(OR($F35&lt;&gt;"OPS",$H35=""),0,ROUND(IF(AND($H35&gt;=TIME(6,0,0),$H35&lt;TIME(8,0,0)),ops_0600_0800,IF(AND($H35&gt;=TIME(8,0,0),$H35&lt;TIME(18,0,0)),ops_0800_1800,IF(AND($H35&gt;=TIME(18,0,0),$H35&lt;TIME(22,0,0)),ops_1800_2200,IF(OR($H35&gt;=TIME(22,0,0),$H35&lt;TIME(1,0,0)),ops_2200_0100,IF(AND($H35&gt;=TIME(1,0,0),$H35&lt;TIME(6,0,0)),ops_0100_0600,0)))))+IF($G35="Lễ",ops_phu_troi_le,0),0))</f>
        <v>0</v>
      </c>
      <c r="X35" s="16">
        <f t="shared" si="3"/>
        <v>0</v>
      </c>
      <c r="Y35" s="6" t="str">
        <f>IF(OR($F35&lt;&gt;"OPS",$K35=""),"",IF($K35&lt;=ops_kg_1nguoi,1,ops_nguoi_toi_da))</f>
        <v/>
      </c>
      <c r="Z35" s="15" t="str">
        <f t="shared" si="4"/>
        <v/>
      </c>
      <c r="AA35" s="5"/>
    </row>
    <row r="36" spans="2:27">
      <c r="B36" s="6" t="str">
        <f>IF($D36="","",31)</f>
        <v/>
      </c>
      <c r="C36" s="19"/>
      <c r="D36" s="20"/>
      <c r="E36" s="15" t="str">
        <f>IFERROR(VLOOKUP(D36,Assumption!$B$69:$C$80,2,0),"")</f>
        <v/>
      </c>
      <c r="F36" s="20"/>
      <c r="G36" s="20"/>
      <c r="H36" s="21"/>
      <c r="I36" s="21"/>
      <c r="J36" s="5"/>
      <c r="K36" s="22"/>
      <c r="L36" s="22"/>
      <c r="M36" s="20"/>
      <c r="N36" s="23" t="str">
        <f>IF(OR($F36&lt;&gt;"TRUC_DEM",$H36=""),"",(HOUR($H36)+MINUTE($H36)/60)+IF((HOUR($H36)+MINUTE($H36)/60)&lt;moc_chia_ngay,24,0))</f>
        <v/>
      </c>
      <c r="O36" s="23" t="str">
        <f>IF(OR($F36&lt;&gt;"TRUC_DEM",$I36=""),"",(HOUR($I36)+MINUTE($I36)/60)+IF((HOUR($I36)+MINUTE($I36)/60)&lt;moc_chia_ngay,24,0))</f>
        <v/>
      </c>
      <c r="P36" s="17" t="str">
        <f>IF($N36="","",MAX(0,MIN($O36,moc_loi_tu)-MAX($N36,moc_dem_tu))+MAX(0,MIN($O36,moc_dem_den)-MAX($N36,moc_loi_den)))</f>
        <v/>
      </c>
      <c r="Q36" s="17" t="str">
        <f>IF($N36="","",MAX(0,MIN($O36,moc_loi_den)-MAX($N36,moc_loi_tu)))</f>
        <v/>
      </c>
      <c r="R36" s="17" t="str">
        <f t="shared" si="0"/>
        <v/>
      </c>
      <c r="S36" s="4" t="str">
        <f t="shared" si="1"/>
        <v/>
      </c>
      <c r="T36" s="6">
        <f>IF($N36="",0,($P36*rate_gio_bien+$Q36*rate_gio_loi)*IF($G36="Lễ",he_so_le,1))</f>
        <v>0</v>
      </c>
      <c r="U36" s="6">
        <f>IF($N36="",0,IF($S36="Blaze",bca_blaze,IF($S36="Spark",bca_spark,0))*IF($G36="Lễ",he_so_le,1))</f>
        <v>0</v>
      </c>
      <c r="V36" s="24">
        <f t="shared" si="2"/>
        <v>0</v>
      </c>
      <c r="W36" s="24">
        <f>IF(OR($F36&lt;&gt;"OPS",$H36=""),0,ROUND(IF(AND($H36&gt;=TIME(6,0,0),$H36&lt;TIME(8,0,0)),ops_0600_0800,IF(AND($H36&gt;=TIME(8,0,0),$H36&lt;TIME(18,0,0)),ops_0800_1800,IF(AND($H36&gt;=TIME(18,0,0),$H36&lt;TIME(22,0,0)),ops_1800_2200,IF(OR($H36&gt;=TIME(22,0,0),$H36&lt;TIME(1,0,0)),ops_2200_0100,IF(AND($H36&gt;=TIME(1,0,0),$H36&lt;TIME(6,0,0)),ops_0100_0600,0)))))+IF($G36="Lễ",ops_phu_troi_le,0),0))</f>
        <v>0</v>
      </c>
      <c r="X36" s="16">
        <f t="shared" si="3"/>
        <v>0</v>
      </c>
      <c r="Y36" s="6" t="str">
        <f>IF(OR($F36&lt;&gt;"OPS",$K36=""),"",IF($K36&lt;=ops_kg_1nguoi,1,ops_nguoi_toi_da))</f>
        <v/>
      </c>
      <c r="Z36" s="15" t="str">
        <f t="shared" si="4"/>
        <v/>
      </c>
      <c r="AA36" s="5"/>
    </row>
    <row r="37" spans="2:27">
      <c r="B37" s="6" t="str">
        <f>IF($D37="","",32)</f>
        <v/>
      </c>
      <c r="C37" s="19"/>
      <c r="D37" s="20"/>
      <c r="E37" s="15" t="str">
        <f>IFERROR(VLOOKUP(D37,Assumption!$B$69:$C$80,2,0),"")</f>
        <v/>
      </c>
      <c r="F37" s="20"/>
      <c r="G37" s="20"/>
      <c r="H37" s="21"/>
      <c r="I37" s="21"/>
      <c r="J37" s="5"/>
      <c r="K37" s="22"/>
      <c r="L37" s="22"/>
      <c r="M37" s="20"/>
      <c r="N37" s="23" t="str">
        <f>IF(OR($F37&lt;&gt;"TRUC_DEM",$H37=""),"",(HOUR($H37)+MINUTE($H37)/60)+IF((HOUR($H37)+MINUTE($H37)/60)&lt;moc_chia_ngay,24,0))</f>
        <v/>
      </c>
      <c r="O37" s="23" t="str">
        <f>IF(OR($F37&lt;&gt;"TRUC_DEM",$I37=""),"",(HOUR($I37)+MINUTE($I37)/60)+IF((HOUR($I37)+MINUTE($I37)/60)&lt;moc_chia_ngay,24,0))</f>
        <v/>
      </c>
      <c r="P37" s="17" t="str">
        <f>IF($N37="","",MAX(0,MIN($O37,moc_loi_tu)-MAX($N37,moc_dem_tu))+MAX(0,MIN($O37,moc_dem_den)-MAX($N37,moc_loi_den)))</f>
        <v/>
      </c>
      <c r="Q37" s="17" t="str">
        <f>IF($N37="","",MAX(0,MIN($O37,moc_loi_den)-MAX($N37,moc_loi_tu)))</f>
        <v/>
      </c>
      <c r="R37" s="17" t="str">
        <f t="shared" si="0"/>
        <v/>
      </c>
      <c r="S37" s="4" t="str">
        <f t="shared" si="1"/>
        <v/>
      </c>
      <c r="T37" s="6">
        <f>IF($N37="",0,($P37*rate_gio_bien+$Q37*rate_gio_loi)*IF($G37="Lễ",he_so_le,1))</f>
        <v>0</v>
      </c>
      <c r="U37" s="6">
        <f>IF($N37="",0,IF($S37="Blaze",bca_blaze,IF($S37="Spark",bca_spark,0))*IF($G37="Lễ",he_so_le,1))</f>
        <v>0</v>
      </c>
      <c r="V37" s="24">
        <f t="shared" si="2"/>
        <v>0</v>
      </c>
      <c r="W37" s="24">
        <f>IF(OR($F37&lt;&gt;"OPS",$H37=""),0,ROUND(IF(AND($H37&gt;=TIME(6,0,0),$H37&lt;TIME(8,0,0)),ops_0600_0800,IF(AND($H37&gt;=TIME(8,0,0),$H37&lt;TIME(18,0,0)),ops_0800_1800,IF(AND($H37&gt;=TIME(18,0,0),$H37&lt;TIME(22,0,0)),ops_1800_2200,IF(OR($H37&gt;=TIME(22,0,0),$H37&lt;TIME(1,0,0)),ops_2200_0100,IF(AND($H37&gt;=TIME(1,0,0),$H37&lt;TIME(6,0,0)),ops_0100_0600,0)))))+IF($G37="Lễ",ops_phu_troi_le,0),0))</f>
        <v>0</v>
      </c>
      <c r="X37" s="16">
        <f t="shared" si="3"/>
        <v>0</v>
      </c>
      <c r="Y37" s="6" t="str">
        <f>IF(OR($F37&lt;&gt;"OPS",$K37=""),"",IF($K37&lt;=ops_kg_1nguoi,1,ops_nguoi_toi_da))</f>
        <v/>
      </c>
      <c r="Z37" s="15" t="str">
        <f t="shared" si="4"/>
        <v/>
      </c>
      <c r="AA37" s="5"/>
    </row>
    <row r="38" spans="2:27">
      <c r="B38" s="6" t="str">
        <f>IF($D38="","",33)</f>
        <v/>
      </c>
      <c r="C38" s="19"/>
      <c r="D38" s="20"/>
      <c r="E38" s="15" t="str">
        <f>IFERROR(VLOOKUP(D38,Assumption!$B$69:$C$80,2,0),"")</f>
        <v/>
      </c>
      <c r="F38" s="20"/>
      <c r="G38" s="20"/>
      <c r="H38" s="21"/>
      <c r="I38" s="21"/>
      <c r="J38" s="5"/>
      <c r="K38" s="22"/>
      <c r="L38" s="22"/>
      <c r="M38" s="20"/>
      <c r="N38" s="23" t="str">
        <f>IF(OR($F38&lt;&gt;"TRUC_DEM",$H38=""),"",(HOUR($H38)+MINUTE($H38)/60)+IF((HOUR($H38)+MINUTE($H38)/60)&lt;moc_chia_ngay,24,0))</f>
        <v/>
      </c>
      <c r="O38" s="23" t="str">
        <f>IF(OR($F38&lt;&gt;"TRUC_DEM",$I38=""),"",(HOUR($I38)+MINUTE($I38)/60)+IF((HOUR($I38)+MINUTE($I38)/60)&lt;moc_chia_ngay,24,0))</f>
        <v/>
      </c>
      <c r="P38" s="17" t="str">
        <f>IF($N38="","",MAX(0,MIN($O38,moc_loi_tu)-MAX($N38,moc_dem_tu))+MAX(0,MIN($O38,moc_dem_den)-MAX($N38,moc_loi_den)))</f>
        <v/>
      </c>
      <c r="Q38" s="17" t="str">
        <f>IF($N38="","",MAX(0,MIN($O38,moc_loi_den)-MAX($N38,moc_loi_tu)))</f>
        <v/>
      </c>
      <c r="R38" s="17" t="str">
        <f t="shared" si="0"/>
        <v/>
      </c>
      <c r="S38" s="4" t="str">
        <f t="shared" si="1"/>
        <v/>
      </c>
      <c r="T38" s="6">
        <f>IF($N38="",0,($P38*rate_gio_bien+$Q38*rate_gio_loi)*IF($G38="Lễ",he_so_le,1))</f>
        <v>0</v>
      </c>
      <c r="U38" s="6">
        <f>IF($N38="",0,IF($S38="Blaze",bca_blaze,IF($S38="Spark",bca_spark,0))*IF($G38="Lễ",he_so_le,1))</f>
        <v>0</v>
      </c>
      <c r="V38" s="24">
        <f t="shared" si="2"/>
        <v>0</v>
      </c>
      <c r="W38" s="24">
        <f>IF(OR($F38&lt;&gt;"OPS",$H38=""),0,ROUND(IF(AND($H38&gt;=TIME(6,0,0),$H38&lt;TIME(8,0,0)),ops_0600_0800,IF(AND($H38&gt;=TIME(8,0,0),$H38&lt;TIME(18,0,0)),ops_0800_1800,IF(AND($H38&gt;=TIME(18,0,0),$H38&lt;TIME(22,0,0)),ops_1800_2200,IF(OR($H38&gt;=TIME(22,0,0),$H38&lt;TIME(1,0,0)),ops_2200_0100,IF(AND($H38&gt;=TIME(1,0,0),$H38&lt;TIME(6,0,0)),ops_0100_0600,0)))))+IF($G38="Lễ",ops_phu_troi_le,0),0))</f>
        <v>0</v>
      </c>
      <c r="X38" s="16">
        <f t="shared" si="3"/>
        <v>0</v>
      </c>
      <c r="Y38" s="6" t="str">
        <f>IF(OR($F38&lt;&gt;"OPS",$K38=""),"",IF($K38&lt;=ops_kg_1nguoi,1,ops_nguoi_toi_da))</f>
        <v/>
      </c>
      <c r="Z38" s="15" t="str">
        <f t="shared" si="4"/>
        <v/>
      </c>
      <c r="AA38" s="5"/>
    </row>
    <row r="39" spans="2:27">
      <c r="B39" s="6" t="str">
        <f>IF($D39="","",34)</f>
        <v/>
      </c>
      <c r="C39" s="19"/>
      <c r="D39" s="20"/>
      <c r="E39" s="15" t="str">
        <f>IFERROR(VLOOKUP(D39,Assumption!$B$69:$C$80,2,0),"")</f>
        <v/>
      </c>
      <c r="F39" s="20"/>
      <c r="G39" s="20"/>
      <c r="H39" s="21"/>
      <c r="I39" s="21"/>
      <c r="J39" s="5"/>
      <c r="K39" s="22"/>
      <c r="L39" s="22"/>
      <c r="M39" s="20"/>
      <c r="N39" s="23" t="str">
        <f>IF(OR($F39&lt;&gt;"TRUC_DEM",$H39=""),"",(HOUR($H39)+MINUTE($H39)/60)+IF((HOUR($H39)+MINUTE($H39)/60)&lt;moc_chia_ngay,24,0))</f>
        <v/>
      </c>
      <c r="O39" s="23" t="str">
        <f>IF(OR($F39&lt;&gt;"TRUC_DEM",$I39=""),"",(HOUR($I39)+MINUTE($I39)/60)+IF((HOUR($I39)+MINUTE($I39)/60)&lt;moc_chia_ngay,24,0))</f>
        <v/>
      </c>
      <c r="P39" s="17" t="str">
        <f>IF($N39="","",MAX(0,MIN($O39,moc_loi_tu)-MAX($N39,moc_dem_tu))+MAX(0,MIN($O39,moc_dem_den)-MAX($N39,moc_loi_den)))</f>
        <v/>
      </c>
      <c r="Q39" s="17" t="str">
        <f>IF($N39="","",MAX(0,MIN($O39,moc_loi_den)-MAX($N39,moc_loi_tu)))</f>
        <v/>
      </c>
      <c r="R39" s="17" t="str">
        <f t="shared" si="0"/>
        <v/>
      </c>
      <c r="S39" s="4" t="str">
        <f t="shared" si="1"/>
        <v/>
      </c>
      <c r="T39" s="6">
        <f>IF($N39="",0,($P39*rate_gio_bien+$Q39*rate_gio_loi)*IF($G39="Lễ",he_so_le,1))</f>
        <v>0</v>
      </c>
      <c r="U39" s="6">
        <f>IF($N39="",0,IF($S39="Blaze",bca_blaze,IF($S39="Spark",bca_spark,0))*IF($G39="Lễ",he_so_le,1))</f>
        <v>0</v>
      </c>
      <c r="V39" s="24">
        <f t="shared" si="2"/>
        <v>0</v>
      </c>
      <c r="W39" s="24">
        <f>IF(OR($F39&lt;&gt;"OPS",$H39=""),0,ROUND(IF(AND($H39&gt;=TIME(6,0,0),$H39&lt;TIME(8,0,0)),ops_0600_0800,IF(AND($H39&gt;=TIME(8,0,0),$H39&lt;TIME(18,0,0)),ops_0800_1800,IF(AND($H39&gt;=TIME(18,0,0),$H39&lt;TIME(22,0,0)),ops_1800_2200,IF(OR($H39&gt;=TIME(22,0,0),$H39&lt;TIME(1,0,0)),ops_2200_0100,IF(AND($H39&gt;=TIME(1,0,0),$H39&lt;TIME(6,0,0)),ops_0100_0600,0)))))+IF($G39="Lễ",ops_phu_troi_le,0),0))</f>
        <v>0</v>
      </c>
      <c r="X39" s="16">
        <f t="shared" si="3"/>
        <v>0</v>
      </c>
      <c r="Y39" s="6" t="str">
        <f>IF(OR($F39&lt;&gt;"OPS",$K39=""),"",IF($K39&lt;=ops_kg_1nguoi,1,ops_nguoi_toi_da))</f>
        <v/>
      </c>
      <c r="Z39" s="15" t="str">
        <f t="shared" si="4"/>
        <v/>
      </c>
      <c r="AA39" s="5"/>
    </row>
    <row r="40" spans="2:27">
      <c r="B40" s="6" t="str">
        <f>IF($D40="","",35)</f>
        <v/>
      </c>
      <c r="C40" s="19"/>
      <c r="D40" s="20"/>
      <c r="E40" s="15" t="str">
        <f>IFERROR(VLOOKUP(D40,Assumption!$B$69:$C$80,2,0),"")</f>
        <v/>
      </c>
      <c r="F40" s="20"/>
      <c r="G40" s="20"/>
      <c r="H40" s="21"/>
      <c r="I40" s="21"/>
      <c r="J40" s="5"/>
      <c r="K40" s="22"/>
      <c r="L40" s="22"/>
      <c r="M40" s="20"/>
      <c r="N40" s="23" t="str">
        <f>IF(OR($F40&lt;&gt;"TRUC_DEM",$H40=""),"",(HOUR($H40)+MINUTE($H40)/60)+IF((HOUR($H40)+MINUTE($H40)/60)&lt;moc_chia_ngay,24,0))</f>
        <v/>
      </c>
      <c r="O40" s="23" t="str">
        <f>IF(OR($F40&lt;&gt;"TRUC_DEM",$I40=""),"",(HOUR($I40)+MINUTE($I40)/60)+IF((HOUR($I40)+MINUTE($I40)/60)&lt;moc_chia_ngay,24,0))</f>
        <v/>
      </c>
      <c r="P40" s="17" t="str">
        <f>IF($N40="","",MAX(0,MIN($O40,moc_loi_tu)-MAX($N40,moc_dem_tu))+MAX(0,MIN($O40,moc_dem_den)-MAX($N40,moc_loi_den)))</f>
        <v/>
      </c>
      <c r="Q40" s="17" t="str">
        <f>IF($N40="","",MAX(0,MIN($O40,moc_loi_den)-MAX($N40,moc_loi_tu)))</f>
        <v/>
      </c>
      <c r="R40" s="17" t="str">
        <f t="shared" si="0"/>
        <v/>
      </c>
      <c r="S40" s="4" t="str">
        <f t="shared" si="1"/>
        <v/>
      </c>
      <c r="T40" s="6">
        <f>IF($N40="",0,($P40*rate_gio_bien+$Q40*rate_gio_loi)*IF($G40="Lễ",he_so_le,1))</f>
        <v>0</v>
      </c>
      <c r="U40" s="6">
        <f>IF($N40="",0,IF($S40="Blaze",bca_blaze,IF($S40="Spark",bca_spark,0))*IF($G40="Lễ",he_so_le,1))</f>
        <v>0</v>
      </c>
      <c r="V40" s="24">
        <f t="shared" si="2"/>
        <v>0</v>
      </c>
      <c r="W40" s="24">
        <f>IF(OR($F40&lt;&gt;"OPS",$H40=""),0,ROUND(IF(AND($H40&gt;=TIME(6,0,0),$H40&lt;TIME(8,0,0)),ops_0600_0800,IF(AND($H40&gt;=TIME(8,0,0),$H40&lt;TIME(18,0,0)),ops_0800_1800,IF(AND($H40&gt;=TIME(18,0,0),$H40&lt;TIME(22,0,0)),ops_1800_2200,IF(OR($H40&gt;=TIME(22,0,0),$H40&lt;TIME(1,0,0)),ops_2200_0100,IF(AND($H40&gt;=TIME(1,0,0),$H40&lt;TIME(6,0,0)),ops_0100_0600,0)))))+IF($G40="Lễ",ops_phu_troi_le,0),0))</f>
        <v>0</v>
      </c>
      <c r="X40" s="16">
        <f t="shared" si="3"/>
        <v>0</v>
      </c>
      <c r="Y40" s="6" t="str">
        <f>IF(OR($F40&lt;&gt;"OPS",$K40=""),"",IF($K40&lt;=ops_kg_1nguoi,1,ops_nguoi_toi_da))</f>
        <v/>
      </c>
      <c r="Z40" s="15" t="str">
        <f t="shared" si="4"/>
        <v/>
      </c>
      <c r="AA40" s="5"/>
    </row>
    <row r="41" spans="2:27">
      <c r="B41" s="6" t="str">
        <f>IF($D41="","",36)</f>
        <v/>
      </c>
      <c r="C41" s="19"/>
      <c r="D41" s="20"/>
      <c r="E41" s="15" t="str">
        <f>IFERROR(VLOOKUP(D41,Assumption!$B$69:$C$80,2,0),"")</f>
        <v/>
      </c>
      <c r="F41" s="20"/>
      <c r="G41" s="20"/>
      <c r="H41" s="21"/>
      <c r="I41" s="21"/>
      <c r="J41" s="5"/>
      <c r="K41" s="22"/>
      <c r="L41" s="22"/>
      <c r="M41" s="20"/>
      <c r="N41" s="23" t="str">
        <f>IF(OR($F41&lt;&gt;"TRUC_DEM",$H41=""),"",(HOUR($H41)+MINUTE($H41)/60)+IF((HOUR($H41)+MINUTE($H41)/60)&lt;moc_chia_ngay,24,0))</f>
        <v/>
      </c>
      <c r="O41" s="23" t="str">
        <f>IF(OR($F41&lt;&gt;"TRUC_DEM",$I41=""),"",(HOUR($I41)+MINUTE($I41)/60)+IF((HOUR($I41)+MINUTE($I41)/60)&lt;moc_chia_ngay,24,0))</f>
        <v/>
      </c>
      <c r="P41" s="17" t="str">
        <f>IF($N41="","",MAX(0,MIN($O41,moc_loi_tu)-MAX($N41,moc_dem_tu))+MAX(0,MIN($O41,moc_dem_den)-MAX($N41,moc_loi_den)))</f>
        <v/>
      </c>
      <c r="Q41" s="17" t="str">
        <f>IF($N41="","",MAX(0,MIN($O41,moc_loi_den)-MAX($N41,moc_loi_tu)))</f>
        <v/>
      </c>
      <c r="R41" s="17" t="str">
        <f t="shared" si="0"/>
        <v/>
      </c>
      <c r="S41" s="4" t="str">
        <f t="shared" si="1"/>
        <v/>
      </c>
      <c r="T41" s="6">
        <f>IF($N41="",0,($P41*rate_gio_bien+$Q41*rate_gio_loi)*IF($G41="Lễ",he_so_le,1))</f>
        <v>0</v>
      </c>
      <c r="U41" s="6">
        <f>IF($N41="",0,IF($S41="Blaze",bca_blaze,IF($S41="Spark",bca_spark,0))*IF($G41="Lễ",he_so_le,1))</f>
        <v>0</v>
      </c>
      <c r="V41" s="24">
        <f t="shared" si="2"/>
        <v>0</v>
      </c>
      <c r="W41" s="24">
        <f>IF(OR($F41&lt;&gt;"OPS",$H41=""),0,ROUND(IF(AND($H41&gt;=TIME(6,0,0),$H41&lt;TIME(8,0,0)),ops_0600_0800,IF(AND($H41&gt;=TIME(8,0,0),$H41&lt;TIME(18,0,0)),ops_0800_1800,IF(AND($H41&gt;=TIME(18,0,0),$H41&lt;TIME(22,0,0)),ops_1800_2200,IF(OR($H41&gt;=TIME(22,0,0),$H41&lt;TIME(1,0,0)),ops_2200_0100,IF(AND($H41&gt;=TIME(1,0,0),$H41&lt;TIME(6,0,0)),ops_0100_0600,0)))))+IF($G41="Lễ",ops_phu_troi_le,0),0))</f>
        <v>0</v>
      </c>
      <c r="X41" s="16">
        <f t="shared" si="3"/>
        <v>0</v>
      </c>
      <c r="Y41" s="6" t="str">
        <f>IF(OR($F41&lt;&gt;"OPS",$K41=""),"",IF($K41&lt;=ops_kg_1nguoi,1,ops_nguoi_toi_da))</f>
        <v/>
      </c>
      <c r="Z41" s="15" t="str">
        <f t="shared" si="4"/>
        <v/>
      </c>
      <c r="AA41" s="5"/>
    </row>
    <row r="42" spans="2:27">
      <c r="B42" s="6" t="str">
        <f>IF($D42="","",37)</f>
        <v/>
      </c>
      <c r="C42" s="19"/>
      <c r="D42" s="20"/>
      <c r="E42" s="15" t="str">
        <f>IFERROR(VLOOKUP(D42,Assumption!$B$69:$C$80,2,0),"")</f>
        <v/>
      </c>
      <c r="F42" s="20"/>
      <c r="G42" s="20"/>
      <c r="H42" s="21"/>
      <c r="I42" s="21"/>
      <c r="J42" s="5"/>
      <c r="K42" s="22"/>
      <c r="L42" s="22"/>
      <c r="M42" s="20"/>
      <c r="N42" s="23" t="str">
        <f>IF(OR($F42&lt;&gt;"TRUC_DEM",$H42=""),"",(HOUR($H42)+MINUTE($H42)/60)+IF((HOUR($H42)+MINUTE($H42)/60)&lt;moc_chia_ngay,24,0))</f>
        <v/>
      </c>
      <c r="O42" s="23" t="str">
        <f>IF(OR($F42&lt;&gt;"TRUC_DEM",$I42=""),"",(HOUR($I42)+MINUTE($I42)/60)+IF((HOUR($I42)+MINUTE($I42)/60)&lt;moc_chia_ngay,24,0))</f>
        <v/>
      </c>
      <c r="P42" s="17" t="str">
        <f>IF($N42="","",MAX(0,MIN($O42,moc_loi_tu)-MAX($N42,moc_dem_tu))+MAX(0,MIN($O42,moc_dem_den)-MAX($N42,moc_loi_den)))</f>
        <v/>
      </c>
      <c r="Q42" s="17" t="str">
        <f>IF($N42="","",MAX(0,MIN($O42,moc_loi_den)-MAX($N42,moc_loi_tu)))</f>
        <v/>
      </c>
      <c r="R42" s="17" t="str">
        <f t="shared" si="0"/>
        <v/>
      </c>
      <c r="S42" s="4" t="str">
        <f t="shared" si="1"/>
        <v/>
      </c>
      <c r="T42" s="6">
        <f>IF($N42="",0,($P42*rate_gio_bien+$Q42*rate_gio_loi)*IF($G42="Lễ",he_so_le,1))</f>
        <v>0</v>
      </c>
      <c r="U42" s="6">
        <f>IF($N42="",0,IF($S42="Blaze",bca_blaze,IF($S42="Spark",bca_spark,0))*IF($G42="Lễ",he_so_le,1))</f>
        <v>0</v>
      </c>
      <c r="V42" s="24">
        <f t="shared" si="2"/>
        <v>0</v>
      </c>
      <c r="W42" s="24">
        <f>IF(OR($F42&lt;&gt;"OPS",$H42=""),0,ROUND(IF(AND($H42&gt;=TIME(6,0,0),$H42&lt;TIME(8,0,0)),ops_0600_0800,IF(AND($H42&gt;=TIME(8,0,0),$H42&lt;TIME(18,0,0)),ops_0800_1800,IF(AND($H42&gt;=TIME(18,0,0),$H42&lt;TIME(22,0,0)),ops_1800_2200,IF(OR($H42&gt;=TIME(22,0,0),$H42&lt;TIME(1,0,0)),ops_2200_0100,IF(AND($H42&gt;=TIME(1,0,0),$H42&lt;TIME(6,0,0)),ops_0100_0600,0)))))+IF($G42="Lễ",ops_phu_troi_le,0),0))</f>
        <v>0</v>
      </c>
      <c r="X42" s="16">
        <f t="shared" si="3"/>
        <v>0</v>
      </c>
      <c r="Y42" s="6" t="str">
        <f>IF(OR($F42&lt;&gt;"OPS",$K42=""),"",IF($K42&lt;=ops_kg_1nguoi,1,ops_nguoi_toi_da))</f>
        <v/>
      </c>
      <c r="Z42" s="15" t="str">
        <f t="shared" si="4"/>
        <v/>
      </c>
      <c r="AA42" s="5"/>
    </row>
    <row r="43" spans="2:27">
      <c r="B43" s="6" t="str">
        <f>IF($D43="","",38)</f>
        <v/>
      </c>
      <c r="C43" s="19"/>
      <c r="D43" s="20"/>
      <c r="E43" s="15" t="str">
        <f>IFERROR(VLOOKUP(D43,Assumption!$B$69:$C$80,2,0),"")</f>
        <v/>
      </c>
      <c r="F43" s="20"/>
      <c r="G43" s="20"/>
      <c r="H43" s="21"/>
      <c r="I43" s="21"/>
      <c r="J43" s="5"/>
      <c r="K43" s="22"/>
      <c r="L43" s="22"/>
      <c r="M43" s="20"/>
      <c r="N43" s="23" t="str">
        <f>IF(OR($F43&lt;&gt;"TRUC_DEM",$H43=""),"",(HOUR($H43)+MINUTE($H43)/60)+IF((HOUR($H43)+MINUTE($H43)/60)&lt;moc_chia_ngay,24,0))</f>
        <v/>
      </c>
      <c r="O43" s="23" t="str">
        <f>IF(OR($F43&lt;&gt;"TRUC_DEM",$I43=""),"",(HOUR($I43)+MINUTE($I43)/60)+IF((HOUR($I43)+MINUTE($I43)/60)&lt;moc_chia_ngay,24,0))</f>
        <v/>
      </c>
      <c r="P43" s="17" t="str">
        <f>IF($N43="","",MAX(0,MIN($O43,moc_loi_tu)-MAX($N43,moc_dem_tu))+MAX(0,MIN($O43,moc_dem_den)-MAX($N43,moc_loi_den)))</f>
        <v/>
      </c>
      <c r="Q43" s="17" t="str">
        <f>IF($N43="","",MAX(0,MIN($O43,moc_loi_den)-MAX($N43,moc_loi_tu)))</f>
        <v/>
      </c>
      <c r="R43" s="17" t="str">
        <f t="shared" si="0"/>
        <v/>
      </c>
      <c r="S43" s="4" t="str">
        <f t="shared" si="1"/>
        <v/>
      </c>
      <c r="T43" s="6">
        <f>IF($N43="",0,($P43*rate_gio_bien+$Q43*rate_gio_loi)*IF($G43="Lễ",he_so_le,1))</f>
        <v>0</v>
      </c>
      <c r="U43" s="6">
        <f>IF($N43="",0,IF($S43="Blaze",bca_blaze,IF($S43="Spark",bca_spark,0))*IF($G43="Lễ",he_so_le,1))</f>
        <v>0</v>
      </c>
      <c r="V43" s="24">
        <f t="shared" si="2"/>
        <v>0</v>
      </c>
      <c r="W43" s="24">
        <f>IF(OR($F43&lt;&gt;"OPS",$H43=""),0,ROUND(IF(AND($H43&gt;=TIME(6,0,0),$H43&lt;TIME(8,0,0)),ops_0600_0800,IF(AND($H43&gt;=TIME(8,0,0),$H43&lt;TIME(18,0,0)),ops_0800_1800,IF(AND($H43&gt;=TIME(18,0,0),$H43&lt;TIME(22,0,0)),ops_1800_2200,IF(OR($H43&gt;=TIME(22,0,0),$H43&lt;TIME(1,0,0)),ops_2200_0100,IF(AND($H43&gt;=TIME(1,0,0),$H43&lt;TIME(6,0,0)),ops_0100_0600,0)))))+IF($G43="Lễ",ops_phu_troi_le,0),0))</f>
        <v>0</v>
      </c>
      <c r="X43" s="16">
        <f t="shared" si="3"/>
        <v>0</v>
      </c>
      <c r="Y43" s="6" t="str">
        <f>IF(OR($F43&lt;&gt;"OPS",$K43=""),"",IF($K43&lt;=ops_kg_1nguoi,1,ops_nguoi_toi_da))</f>
        <v/>
      </c>
      <c r="Z43" s="15" t="str">
        <f t="shared" si="4"/>
        <v/>
      </c>
      <c r="AA43" s="5"/>
    </row>
    <row r="44" spans="2:27">
      <c r="B44" s="6" t="str">
        <f>IF($D44="","",39)</f>
        <v/>
      </c>
      <c r="C44" s="19"/>
      <c r="D44" s="20"/>
      <c r="E44" s="15" t="str">
        <f>IFERROR(VLOOKUP(D44,Assumption!$B$69:$C$80,2,0),"")</f>
        <v/>
      </c>
      <c r="F44" s="20"/>
      <c r="G44" s="20"/>
      <c r="H44" s="21"/>
      <c r="I44" s="21"/>
      <c r="J44" s="5"/>
      <c r="K44" s="22"/>
      <c r="L44" s="22"/>
      <c r="M44" s="20"/>
      <c r="N44" s="23" t="str">
        <f>IF(OR($F44&lt;&gt;"TRUC_DEM",$H44=""),"",(HOUR($H44)+MINUTE($H44)/60)+IF((HOUR($H44)+MINUTE($H44)/60)&lt;moc_chia_ngay,24,0))</f>
        <v/>
      </c>
      <c r="O44" s="23" t="str">
        <f>IF(OR($F44&lt;&gt;"TRUC_DEM",$I44=""),"",(HOUR($I44)+MINUTE($I44)/60)+IF((HOUR($I44)+MINUTE($I44)/60)&lt;moc_chia_ngay,24,0))</f>
        <v/>
      </c>
      <c r="P44" s="17" t="str">
        <f>IF($N44="","",MAX(0,MIN($O44,moc_loi_tu)-MAX($N44,moc_dem_tu))+MAX(0,MIN($O44,moc_dem_den)-MAX($N44,moc_loi_den)))</f>
        <v/>
      </c>
      <c r="Q44" s="17" t="str">
        <f>IF($N44="","",MAX(0,MIN($O44,moc_loi_den)-MAX($N44,moc_loi_tu)))</f>
        <v/>
      </c>
      <c r="R44" s="17" t="str">
        <f t="shared" si="0"/>
        <v/>
      </c>
      <c r="S44" s="4" t="str">
        <f t="shared" si="1"/>
        <v/>
      </c>
      <c r="T44" s="6">
        <f>IF($N44="",0,($P44*rate_gio_bien+$Q44*rate_gio_loi)*IF($G44="Lễ",he_so_le,1))</f>
        <v>0</v>
      </c>
      <c r="U44" s="6">
        <f>IF($N44="",0,IF($S44="Blaze",bca_blaze,IF($S44="Spark",bca_spark,0))*IF($G44="Lễ",he_so_le,1))</f>
        <v>0</v>
      </c>
      <c r="V44" s="24">
        <f t="shared" si="2"/>
        <v>0</v>
      </c>
      <c r="W44" s="24">
        <f>IF(OR($F44&lt;&gt;"OPS",$H44=""),0,ROUND(IF(AND($H44&gt;=TIME(6,0,0),$H44&lt;TIME(8,0,0)),ops_0600_0800,IF(AND($H44&gt;=TIME(8,0,0),$H44&lt;TIME(18,0,0)),ops_0800_1800,IF(AND($H44&gt;=TIME(18,0,0),$H44&lt;TIME(22,0,0)),ops_1800_2200,IF(OR($H44&gt;=TIME(22,0,0),$H44&lt;TIME(1,0,0)),ops_2200_0100,IF(AND($H44&gt;=TIME(1,0,0),$H44&lt;TIME(6,0,0)),ops_0100_0600,0)))))+IF($G44="Lễ",ops_phu_troi_le,0),0))</f>
        <v>0</v>
      </c>
      <c r="X44" s="16">
        <f t="shared" si="3"/>
        <v>0</v>
      </c>
      <c r="Y44" s="6" t="str">
        <f>IF(OR($F44&lt;&gt;"OPS",$K44=""),"",IF($K44&lt;=ops_kg_1nguoi,1,ops_nguoi_toi_da))</f>
        <v/>
      </c>
      <c r="Z44" s="15" t="str">
        <f t="shared" si="4"/>
        <v/>
      </c>
      <c r="AA44" s="5"/>
    </row>
    <row r="45" spans="2:27">
      <c r="B45" s="6" t="str">
        <f>IF($D45="","",40)</f>
        <v/>
      </c>
      <c r="C45" s="19"/>
      <c r="D45" s="20"/>
      <c r="E45" s="15" t="str">
        <f>IFERROR(VLOOKUP(D45,Assumption!$B$69:$C$80,2,0),"")</f>
        <v/>
      </c>
      <c r="F45" s="20"/>
      <c r="G45" s="20"/>
      <c r="H45" s="21"/>
      <c r="I45" s="21"/>
      <c r="J45" s="5"/>
      <c r="K45" s="22"/>
      <c r="L45" s="22"/>
      <c r="M45" s="20"/>
      <c r="N45" s="23" t="str">
        <f>IF(OR($F45&lt;&gt;"TRUC_DEM",$H45=""),"",(HOUR($H45)+MINUTE($H45)/60)+IF((HOUR($H45)+MINUTE($H45)/60)&lt;moc_chia_ngay,24,0))</f>
        <v/>
      </c>
      <c r="O45" s="23" t="str">
        <f>IF(OR($F45&lt;&gt;"TRUC_DEM",$I45=""),"",(HOUR($I45)+MINUTE($I45)/60)+IF((HOUR($I45)+MINUTE($I45)/60)&lt;moc_chia_ngay,24,0))</f>
        <v/>
      </c>
      <c r="P45" s="17" t="str">
        <f>IF($N45="","",MAX(0,MIN($O45,moc_loi_tu)-MAX($N45,moc_dem_tu))+MAX(0,MIN($O45,moc_dem_den)-MAX($N45,moc_loi_den)))</f>
        <v/>
      </c>
      <c r="Q45" s="17" t="str">
        <f>IF($N45="","",MAX(0,MIN($O45,moc_loi_den)-MAX($N45,moc_loi_tu)))</f>
        <v/>
      </c>
      <c r="R45" s="17" t="str">
        <f t="shared" si="0"/>
        <v/>
      </c>
      <c r="S45" s="4" t="str">
        <f t="shared" si="1"/>
        <v/>
      </c>
      <c r="T45" s="6">
        <f>IF($N45="",0,($P45*rate_gio_bien+$Q45*rate_gio_loi)*IF($G45="Lễ",he_so_le,1))</f>
        <v>0</v>
      </c>
      <c r="U45" s="6">
        <f>IF($N45="",0,IF($S45="Blaze",bca_blaze,IF($S45="Spark",bca_spark,0))*IF($G45="Lễ",he_so_le,1))</f>
        <v>0</v>
      </c>
      <c r="V45" s="24">
        <f t="shared" si="2"/>
        <v>0</v>
      </c>
      <c r="W45" s="24">
        <f>IF(OR($F45&lt;&gt;"OPS",$H45=""),0,ROUND(IF(AND($H45&gt;=TIME(6,0,0),$H45&lt;TIME(8,0,0)),ops_0600_0800,IF(AND($H45&gt;=TIME(8,0,0),$H45&lt;TIME(18,0,0)),ops_0800_1800,IF(AND($H45&gt;=TIME(18,0,0),$H45&lt;TIME(22,0,0)),ops_1800_2200,IF(OR($H45&gt;=TIME(22,0,0),$H45&lt;TIME(1,0,0)),ops_2200_0100,IF(AND($H45&gt;=TIME(1,0,0),$H45&lt;TIME(6,0,0)),ops_0100_0600,0)))))+IF($G45="Lễ",ops_phu_troi_le,0),0))</f>
        <v>0</v>
      </c>
      <c r="X45" s="16">
        <f t="shared" si="3"/>
        <v>0</v>
      </c>
      <c r="Y45" s="6" t="str">
        <f>IF(OR($F45&lt;&gt;"OPS",$K45=""),"",IF($K45&lt;=ops_kg_1nguoi,1,ops_nguoi_toi_da))</f>
        <v/>
      </c>
      <c r="Z45" s="15" t="str">
        <f t="shared" si="4"/>
        <v/>
      </c>
      <c r="AA45" s="5"/>
    </row>
    <row r="46" spans="2:27">
      <c r="B46" s="6" t="str">
        <f>IF($D46="","",41)</f>
        <v/>
      </c>
      <c r="C46" s="19"/>
      <c r="D46" s="20"/>
      <c r="E46" s="15" t="str">
        <f>IFERROR(VLOOKUP(D46,Assumption!$B$69:$C$80,2,0),"")</f>
        <v/>
      </c>
      <c r="F46" s="20"/>
      <c r="G46" s="20"/>
      <c r="H46" s="21"/>
      <c r="I46" s="21"/>
      <c r="J46" s="5"/>
      <c r="K46" s="22"/>
      <c r="L46" s="22"/>
      <c r="M46" s="20"/>
      <c r="N46" s="23" t="str">
        <f>IF(OR($F46&lt;&gt;"TRUC_DEM",$H46=""),"",(HOUR($H46)+MINUTE($H46)/60)+IF((HOUR($H46)+MINUTE($H46)/60)&lt;moc_chia_ngay,24,0))</f>
        <v/>
      </c>
      <c r="O46" s="23" t="str">
        <f>IF(OR($F46&lt;&gt;"TRUC_DEM",$I46=""),"",(HOUR($I46)+MINUTE($I46)/60)+IF((HOUR($I46)+MINUTE($I46)/60)&lt;moc_chia_ngay,24,0))</f>
        <v/>
      </c>
      <c r="P46" s="17" t="str">
        <f>IF($N46="","",MAX(0,MIN($O46,moc_loi_tu)-MAX($N46,moc_dem_tu))+MAX(0,MIN($O46,moc_dem_den)-MAX($N46,moc_loi_den)))</f>
        <v/>
      </c>
      <c r="Q46" s="17" t="str">
        <f>IF($N46="","",MAX(0,MIN($O46,moc_loi_den)-MAX($N46,moc_loi_tu)))</f>
        <v/>
      </c>
      <c r="R46" s="17" t="str">
        <f t="shared" si="0"/>
        <v/>
      </c>
      <c r="S46" s="4" t="str">
        <f t="shared" si="1"/>
        <v/>
      </c>
      <c r="T46" s="6">
        <f>IF($N46="",0,($P46*rate_gio_bien+$Q46*rate_gio_loi)*IF($G46="Lễ",he_so_le,1))</f>
        <v>0</v>
      </c>
      <c r="U46" s="6">
        <f>IF($N46="",0,IF($S46="Blaze",bca_blaze,IF($S46="Spark",bca_spark,0))*IF($G46="Lễ",he_so_le,1))</f>
        <v>0</v>
      </c>
      <c r="V46" s="24">
        <f t="shared" si="2"/>
        <v>0</v>
      </c>
      <c r="W46" s="24">
        <f>IF(OR($F46&lt;&gt;"OPS",$H46=""),0,ROUND(IF(AND($H46&gt;=TIME(6,0,0),$H46&lt;TIME(8,0,0)),ops_0600_0800,IF(AND($H46&gt;=TIME(8,0,0),$H46&lt;TIME(18,0,0)),ops_0800_1800,IF(AND($H46&gt;=TIME(18,0,0),$H46&lt;TIME(22,0,0)),ops_1800_2200,IF(OR($H46&gt;=TIME(22,0,0),$H46&lt;TIME(1,0,0)),ops_2200_0100,IF(AND($H46&gt;=TIME(1,0,0),$H46&lt;TIME(6,0,0)),ops_0100_0600,0)))))+IF($G46="Lễ",ops_phu_troi_le,0),0))</f>
        <v>0</v>
      </c>
      <c r="X46" s="16">
        <f t="shared" si="3"/>
        <v>0</v>
      </c>
      <c r="Y46" s="6" t="str">
        <f>IF(OR($F46&lt;&gt;"OPS",$K46=""),"",IF($K46&lt;=ops_kg_1nguoi,1,ops_nguoi_toi_da))</f>
        <v/>
      </c>
      <c r="Z46" s="15" t="str">
        <f t="shared" si="4"/>
        <v/>
      </c>
      <c r="AA46" s="5"/>
    </row>
    <row r="47" spans="2:27">
      <c r="B47" s="6" t="str">
        <f>IF($D47="","",42)</f>
        <v/>
      </c>
      <c r="C47" s="19"/>
      <c r="D47" s="20"/>
      <c r="E47" s="15" t="str">
        <f>IFERROR(VLOOKUP(D47,Assumption!$B$69:$C$80,2,0),"")</f>
        <v/>
      </c>
      <c r="F47" s="20"/>
      <c r="G47" s="20"/>
      <c r="H47" s="21"/>
      <c r="I47" s="21"/>
      <c r="J47" s="5"/>
      <c r="K47" s="22"/>
      <c r="L47" s="22"/>
      <c r="M47" s="20"/>
      <c r="N47" s="23" t="str">
        <f>IF(OR($F47&lt;&gt;"TRUC_DEM",$H47=""),"",(HOUR($H47)+MINUTE($H47)/60)+IF((HOUR($H47)+MINUTE($H47)/60)&lt;moc_chia_ngay,24,0))</f>
        <v/>
      </c>
      <c r="O47" s="23" t="str">
        <f>IF(OR($F47&lt;&gt;"TRUC_DEM",$I47=""),"",(HOUR($I47)+MINUTE($I47)/60)+IF((HOUR($I47)+MINUTE($I47)/60)&lt;moc_chia_ngay,24,0))</f>
        <v/>
      </c>
      <c r="P47" s="17" t="str">
        <f>IF($N47="","",MAX(0,MIN($O47,moc_loi_tu)-MAX($N47,moc_dem_tu))+MAX(0,MIN($O47,moc_dem_den)-MAX($N47,moc_loi_den)))</f>
        <v/>
      </c>
      <c r="Q47" s="17" t="str">
        <f>IF($N47="","",MAX(0,MIN($O47,moc_loi_den)-MAX($N47,moc_loi_tu)))</f>
        <v/>
      </c>
      <c r="R47" s="17" t="str">
        <f t="shared" si="0"/>
        <v/>
      </c>
      <c r="S47" s="4" t="str">
        <f t="shared" si="1"/>
        <v/>
      </c>
      <c r="T47" s="6">
        <f>IF($N47="",0,($P47*rate_gio_bien+$Q47*rate_gio_loi)*IF($G47="Lễ",he_so_le,1))</f>
        <v>0</v>
      </c>
      <c r="U47" s="6">
        <f>IF($N47="",0,IF($S47="Blaze",bca_blaze,IF($S47="Spark",bca_spark,0))*IF($G47="Lễ",he_so_le,1))</f>
        <v>0</v>
      </c>
      <c r="V47" s="24">
        <f t="shared" si="2"/>
        <v>0</v>
      </c>
      <c r="W47" s="24">
        <f>IF(OR($F47&lt;&gt;"OPS",$H47=""),0,ROUND(IF(AND($H47&gt;=TIME(6,0,0),$H47&lt;TIME(8,0,0)),ops_0600_0800,IF(AND($H47&gt;=TIME(8,0,0),$H47&lt;TIME(18,0,0)),ops_0800_1800,IF(AND($H47&gt;=TIME(18,0,0),$H47&lt;TIME(22,0,0)),ops_1800_2200,IF(OR($H47&gt;=TIME(22,0,0),$H47&lt;TIME(1,0,0)),ops_2200_0100,IF(AND($H47&gt;=TIME(1,0,0),$H47&lt;TIME(6,0,0)),ops_0100_0600,0)))))+IF($G47="Lễ",ops_phu_troi_le,0),0))</f>
        <v>0</v>
      </c>
      <c r="X47" s="16">
        <f t="shared" si="3"/>
        <v>0</v>
      </c>
      <c r="Y47" s="6" t="str">
        <f>IF(OR($F47&lt;&gt;"OPS",$K47=""),"",IF($K47&lt;=ops_kg_1nguoi,1,ops_nguoi_toi_da))</f>
        <v/>
      </c>
      <c r="Z47" s="15" t="str">
        <f t="shared" si="4"/>
        <v/>
      </c>
      <c r="AA47" s="5"/>
    </row>
    <row r="48" spans="2:27">
      <c r="B48" s="6" t="str">
        <f>IF($D48="","",43)</f>
        <v/>
      </c>
      <c r="C48" s="19"/>
      <c r="D48" s="20"/>
      <c r="E48" s="15" t="str">
        <f>IFERROR(VLOOKUP(D48,Assumption!$B$69:$C$80,2,0),"")</f>
        <v/>
      </c>
      <c r="F48" s="20"/>
      <c r="G48" s="20"/>
      <c r="H48" s="21"/>
      <c r="I48" s="21"/>
      <c r="J48" s="5"/>
      <c r="K48" s="22"/>
      <c r="L48" s="22"/>
      <c r="M48" s="20"/>
      <c r="N48" s="23" t="str">
        <f>IF(OR($F48&lt;&gt;"TRUC_DEM",$H48=""),"",(HOUR($H48)+MINUTE($H48)/60)+IF((HOUR($H48)+MINUTE($H48)/60)&lt;moc_chia_ngay,24,0))</f>
        <v/>
      </c>
      <c r="O48" s="23" t="str">
        <f>IF(OR($F48&lt;&gt;"TRUC_DEM",$I48=""),"",(HOUR($I48)+MINUTE($I48)/60)+IF((HOUR($I48)+MINUTE($I48)/60)&lt;moc_chia_ngay,24,0))</f>
        <v/>
      </c>
      <c r="P48" s="17" t="str">
        <f>IF($N48="","",MAX(0,MIN($O48,moc_loi_tu)-MAX($N48,moc_dem_tu))+MAX(0,MIN($O48,moc_dem_den)-MAX($N48,moc_loi_den)))</f>
        <v/>
      </c>
      <c r="Q48" s="17" t="str">
        <f>IF($N48="","",MAX(0,MIN($O48,moc_loi_den)-MAX($N48,moc_loi_tu)))</f>
        <v/>
      </c>
      <c r="R48" s="17" t="str">
        <f t="shared" si="0"/>
        <v/>
      </c>
      <c r="S48" s="4" t="str">
        <f t="shared" si="1"/>
        <v/>
      </c>
      <c r="T48" s="6">
        <f>IF($N48="",0,($P48*rate_gio_bien+$Q48*rate_gio_loi)*IF($G48="Lễ",he_so_le,1))</f>
        <v>0</v>
      </c>
      <c r="U48" s="6">
        <f>IF($N48="",0,IF($S48="Blaze",bca_blaze,IF($S48="Spark",bca_spark,0))*IF($G48="Lễ",he_so_le,1))</f>
        <v>0</v>
      </c>
      <c r="V48" s="24">
        <f t="shared" si="2"/>
        <v>0</v>
      </c>
      <c r="W48" s="24">
        <f>IF(OR($F48&lt;&gt;"OPS",$H48=""),0,ROUND(IF(AND($H48&gt;=TIME(6,0,0),$H48&lt;TIME(8,0,0)),ops_0600_0800,IF(AND($H48&gt;=TIME(8,0,0),$H48&lt;TIME(18,0,0)),ops_0800_1800,IF(AND($H48&gt;=TIME(18,0,0),$H48&lt;TIME(22,0,0)),ops_1800_2200,IF(OR($H48&gt;=TIME(22,0,0),$H48&lt;TIME(1,0,0)),ops_2200_0100,IF(AND($H48&gt;=TIME(1,0,0),$H48&lt;TIME(6,0,0)),ops_0100_0600,0)))))+IF($G48="Lễ",ops_phu_troi_le,0),0))</f>
        <v>0</v>
      </c>
      <c r="X48" s="16">
        <f t="shared" si="3"/>
        <v>0</v>
      </c>
      <c r="Y48" s="6" t="str">
        <f>IF(OR($F48&lt;&gt;"OPS",$K48=""),"",IF($K48&lt;=ops_kg_1nguoi,1,ops_nguoi_toi_da))</f>
        <v/>
      </c>
      <c r="Z48" s="15" t="str">
        <f t="shared" si="4"/>
        <v/>
      </c>
      <c r="AA48" s="5"/>
    </row>
    <row r="49" spans="2:27">
      <c r="B49" s="6" t="str">
        <f>IF($D49="","",44)</f>
        <v/>
      </c>
      <c r="C49" s="19"/>
      <c r="D49" s="20"/>
      <c r="E49" s="15" t="str">
        <f>IFERROR(VLOOKUP(D49,Assumption!$B$69:$C$80,2,0),"")</f>
        <v/>
      </c>
      <c r="F49" s="20"/>
      <c r="G49" s="20"/>
      <c r="H49" s="21"/>
      <c r="I49" s="21"/>
      <c r="J49" s="5"/>
      <c r="K49" s="22"/>
      <c r="L49" s="22"/>
      <c r="M49" s="20"/>
      <c r="N49" s="23" t="str">
        <f>IF(OR($F49&lt;&gt;"TRUC_DEM",$H49=""),"",(HOUR($H49)+MINUTE($H49)/60)+IF((HOUR($H49)+MINUTE($H49)/60)&lt;moc_chia_ngay,24,0))</f>
        <v/>
      </c>
      <c r="O49" s="23" t="str">
        <f>IF(OR($F49&lt;&gt;"TRUC_DEM",$I49=""),"",(HOUR($I49)+MINUTE($I49)/60)+IF((HOUR($I49)+MINUTE($I49)/60)&lt;moc_chia_ngay,24,0))</f>
        <v/>
      </c>
      <c r="P49" s="17" t="str">
        <f>IF($N49="","",MAX(0,MIN($O49,moc_loi_tu)-MAX($N49,moc_dem_tu))+MAX(0,MIN($O49,moc_dem_den)-MAX($N49,moc_loi_den)))</f>
        <v/>
      </c>
      <c r="Q49" s="17" t="str">
        <f>IF($N49="","",MAX(0,MIN($O49,moc_loi_den)-MAX($N49,moc_loi_tu)))</f>
        <v/>
      </c>
      <c r="R49" s="17" t="str">
        <f t="shared" si="0"/>
        <v/>
      </c>
      <c r="S49" s="4" t="str">
        <f t="shared" si="1"/>
        <v/>
      </c>
      <c r="T49" s="6">
        <f>IF($N49="",0,($P49*rate_gio_bien+$Q49*rate_gio_loi)*IF($G49="Lễ",he_so_le,1))</f>
        <v>0</v>
      </c>
      <c r="U49" s="6">
        <f>IF($N49="",0,IF($S49="Blaze",bca_blaze,IF($S49="Spark",bca_spark,0))*IF($G49="Lễ",he_so_le,1))</f>
        <v>0</v>
      </c>
      <c r="V49" s="24">
        <f t="shared" si="2"/>
        <v>0</v>
      </c>
      <c r="W49" s="24">
        <f>IF(OR($F49&lt;&gt;"OPS",$H49=""),0,ROUND(IF(AND($H49&gt;=TIME(6,0,0),$H49&lt;TIME(8,0,0)),ops_0600_0800,IF(AND($H49&gt;=TIME(8,0,0),$H49&lt;TIME(18,0,0)),ops_0800_1800,IF(AND($H49&gt;=TIME(18,0,0),$H49&lt;TIME(22,0,0)),ops_1800_2200,IF(OR($H49&gt;=TIME(22,0,0),$H49&lt;TIME(1,0,0)),ops_2200_0100,IF(AND($H49&gt;=TIME(1,0,0),$H49&lt;TIME(6,0,0)),ops_0100_0600,0)))))+IF($G49="Lễ",ops_phu_troi_le,0),0))</f>
        <v>0</v>
      </c>
      <c r="X49" s="16">
        <f t="shared" si="3"/>
        <v>0</v>
      </c>
      <c r="Y49" s="6" t="str">
        <f>IF(OR($F49&lt;&gt;"OPS",$K49=""),"",IF($K49&lt;=ops_kg_1nguoi,1,ops_nguoi_toi_da))</f>
        <v/>
      </c>
      <c r="Z49" s="15" t="str">
        <f t="shared" si="4"/>
        <v/>
      </c>
      <c r="AA49" s="5"/>
    </row>
    <row r="50" spans="2:27">
      <c r="B50" s="6" t="str">
        <f>IF($D50="","",45)</f>
        <v/>
      </c>
      <c r="C50" s="19"/>
      <c r="D50" s="20"/>
      <c r="E50" s="15" t="str">
        <f>IFERROR(VLOOKUP(D50,Assumption!$B$69:$C$80,2,0),"")</f>
        <v/>
      </c>
      <c r="F50" s="20"/>
      <c r="G50" s="20"/>
      <c r="H50" s="21"/>
      <c r="I50" s="21"/>
      <c r="J50" s="5"/>
      <c r="K50" s="22"/>
      <c r="L50" s="22"/>
      <c r="M50" s="20"/>
      <c r="N50" s="23" t="str">
        <f>IF(OR($F50&lt;&gt;"TRUC_DEM",$H50=""),"",(HOUR($H50)+MINUTE($H50)/60)+IF((HOUR($H50)+MINUTE($H50)/60)&lt;moc_chia_ngay,24,0))</f>
        <v/>
      </c>
      <c r="O50" s="23" t="str">
        <f>IF(OR($F50&lt;&gt;"TRUC_DEM",$I50=""),"",(HOUR($I50)+MINUTE($I50)/60)+IF((HOUR($I50)+MINUTE($I50)/60)&lt;moc_chia_ngay,24,0))</f>
        <v/>
      </c>
      <c r="P50" s="17" t="str">
        <f>IF($N50="","",MAX(0,MIN($O50,moc_loi_tu)-MAX($N50,moc_dem_tu))+MAX(0,MIN($O50,moc_dem_den)-MAX($N50,moc_loi_den)))</f>
        <v/>
      </c>
      <c r="Q50" s="17" t="str">
        <f>IF($N50="","",MAX(0,MIN($O50,moc_loi_den)-MAX($N50,moc_loi_tu)))</f>
        <v/>
      </c>
      <c r="R50" s="17" t="str">
        <f t="shared" si="0"/>
        <v/>
      </c>
      <c r="S50" s="4" t="str">
        <f t="shared" si="1"/>
        <v/>
      </c>
      <c r="T50" s="6">
        <f>IF($N50="",0,($P50*rate_gio_bien+$Q50*rate_gio_loi)*IF($G50="Lễ",he_so_le,1))</f>
        <v>0</v>
      </c>
      <c r="U50" s="6">
        <f>IF($N50="",0,IF($S50="Blaze",bca_blaze,IF($S50="Spark",bca_spark,0))*IF($G50="Lễ",he_so_le,1))</f>
        <v>0</v>
      </c>
      <c r="V50" s="24">
        <f t="shared" si="2"/>
        <v>0</v>
      </c>
      <c r="W50" s="24">
        <f>IF(OR($F50&lt;&gt;"OPS",$H50=""),0,ROUND(IF(AND($H50&gt;=TIME(6,0,0),$H50&lt;TIME(8,0,0)),ops_0600_0800,IF(AND($H50&gt;=TIME(8,0,0),$H50&lt;TIME(18,0,0)),ops_0800_1800,IF(AND($H50&gt;=TIME(18,0,0),$H50&lt;TIME(22,0,0)),ops_1800_2200,IF(OR($H50&gt;=TIME(22,0,0),$H50&lt;TIME(1,0,0)),ops_2200_0100,IF(AND($H50&gt;=TIME(1,0,0),$H50&lt;TIME(6,0,0)),ops_0100_0600,0)))))+IF($G50="Lễ",ops_phu_troi_le,0),0))</f>
        <v>0</v>
      </c>
      <c r="X50" s="16">
        <f t="shared" si="3"/>
        <v>0</v>
      </c>
      <c r="Y50" s="6" t="str">
        <f>IF(OR($F50&lt;&gt;"OPS",$K50=""),"",IF($K50&lt;=ops_kg_1nguoi,1,ops_nguoi_toi_da))</f>
        <v/>
      </c>
      <c r="Z50" s="15" t="str">
        <f t="shared" si="4"/>
        <v/>
      </c>
      <c r="AA50" s="5"/>
    </row>
    <row r="51" spans="2:27">
      <c r="B51" s="6" t="str">
        <f>IF($D51="","",46)</f>
        <v/>
      </c>
      <c r="C51" s="19"/>
      <c r="D51" s="20"/>
      <c r="E51" s="15" t="str">
        <f>IFERROR(VLOOKUP(D51,Assumption!$B$69:$C$80,2,0),"")</f>
        <v/>
      </c>
      <c r="F51" s="20"/>
      <c r="G51" s="20"/>
      <c r="H51" s="21"/>
      <c r="I51" s="21"/>
      <c r="J51" s="5"/>
      <c r="K51" s="22"/>
      <c r="L51" s="22"/>
      <c r="M51" s="20"/>
      <c r="N51" s="23" t="str">
        <f>IF(OR($F51&lt;&gt;"TRUC_DEM",$H51=""),"",(HOUR($H51)+MINUTE($H51)/60)+IF((HOUR($H51)+MINUTE($H51)/60)&lt;moc_chia_ngay,24,0))</f>
        <v/>
      </c>
      <c r="O51" s="23" t="str">
        <f>IF(OR($F51&lt;&gt;"TRUC_DEM",$I51=""),"",(HOUR($I51)+MINUTE($I51)/60)+IF((HOUR($I51)+MINUTE($I51)/60)&lt;moc_chia_ngay,24,0))</f>
        <v/>
      </c>
      <c r="P51" s="17" t="str">
        <f>IF($N51="","",MAX(0,MIN($O51,moc_loi_tu)-MAX($N51,moc_dem_tu))+MAX(0,MIN($O51,moc_dem_den)-MAX($N51,moc_loi_den)))</f>
        <v/>
      </c>
      <c r="Q51" s="17" t="str">
        <f>IF($N51="","",MAX(0,MIN($O51,moc_loi_den)-MAX($N51,moc_loi_tu)))</f>
        <v/>
      </c>
      <c r="R51" s="17" t="str">
        <f t="shared" si="0"/>
        <v/>
      </c>
      <c r="S51" s="4" t="str">
        <f t="shared" si="1"/>
        <v/>
      </c>
      <c r="T51" s="6">
        <f>IF($N51="",0,($P51*rate_gio_bien+$Q51*rate_gio_loi)*IF($G51="Lễ",he_so_le,1))</f>
        <v>0</v>
      </c>
      <c r="U51" s="6">
        <f>IF($N51="",0,IF($S51="Blaze",bca_blaze,IF($S51="Spark",bca_spark,0))*IF($G51="Lễ",he_so_le,1))</f>
        <v>0</v>
      </c>
      <c r="V51" s="24">
        <f t="shared" si="2"/>
        <v>0</v>
      </c>
      <c r="W51" s="24">
        <f>IF(OR($F51&lt;&gt;"OPS",$H51=""),0,ROUND(IF(AND($H51&gt;=TIME(6,0,0),$H51&lt;TIME(8,0,0)),ops_0600_0800,IF(AND($H51&gt;=TIME(8,0,0),$H51&lt;TIME(18,0,0)),ops_0800_1800,IF(AND($H51&gt;=TIME(18,0,0),$H51&lt;TIME(22,0,0)),ops_1800_2200,IF(OR($H51&gt;=TIME(22,0,0),$H51&lt;TIME(1,0,0)),ops_2200_0100,IF(AND($H51&gt;=TIME(1,0,0),$H51&lt;TIME(6,0,0)),ops_0100_0600,0)))))+IF($G51="Lễ",ops_phu_troi_le,0),0))</f>
        <v>0</v>
      </c>
      <c r="X51" s="16">
        <f t="shared" si="3"/>
        <v>0</v>
      </c>
      <c r="Y51" s="6" t="str">
        <f>IF(OR($F51&lt;&gt;"OPS",$K51=""),"",IF($K51&lt;=ops_kg_1nguoi,1,ops_nguoi_toi_da))</f>
        <v/>
      </c>
      <c r="Z51" s="15" t="str">
        <f t="shared" si="4"/>
        <v/>
      </c>
      <c r="AA51" s="5"/>
    </row>
    <row r="52" spans="2:27">
      <c r="B52" s="6" t="str">
        <f>IF($D52="","",47)</f>
        <v/>
      </c>
      <c r="C52" s="19"/>
      <c r="D52" s="20"/>
      <c r="E52" s="15" t="str">
        <f>IFERROR(VLOOKUP(D52,Assumption!$B$69:$C$80,2,0),"")</f>
        <v/>
      </c>
      <c r="F52" s="20"/>
      <c r="G52" s="20"/>
      <c r="H52" s="21"/>
      <c r="I52" s="21"/>
      <c r="J52" s="5"/>
      <c r="K52" s="22"/>
      <c r="L52" s="22"/>
      <c r="M52" s="20"/>
      <c r="N52" s="23" t="str">
        <f>IF(OR($F52&lt;&gt;"TRUC_DEM",$H52=""),"",(HOUR($H52)+MINUTE($H52)/60)+IF((HOUR($H52)+MINUTE($H52)/60)&lt;moc_chia_ngay,24,0))</f>
        <v/>
      </c>
      <c r="O52" s="23" t="str">
        <f>IF(OR($F52&lt;&gt;"TRUC_DEM",$I52=""),"",(HOUR($I52)+MINUTE($I52)/60)+IF((HOUR($I52)+MINUTE($I52)/60)&lt;moc_chia_ngay,24,0))</f>
        <v/>
      </c>
      <c r="P52" s="17" t="str">
        <f>IF($N52="","",MAX(0,MIN($O52,moc_loi_tu)-MAX($N52,moc_dem_tu))+MAX(0,MIN($O52,moc_dem_den)-MAX($N52,moc_loi_den)))</f>
        <v/>
      </c>
      <c r="Q52" s="17" t="str">
        <f>IF($N52="","",MAX(0,MIN($O52,moc_loi_den)-MAX($N52,moc_loi_tu)))</f>
        <v/>
      </c>
      <c r="R52" s="17" t="str">
        <f t="shared" si="0"/>
        <v/>
      </c>
      <c r="S52" s="4" t="str">
        <f t="shared" si="1"/>
        <v/>
      </c>
      <c r="T52" s="6">
        <f>IF($N52="",0,($P52*rate_gio_bien+$Q52*rate_gio_loi)*IF($G52="Lễ",he_so_le,1))</f>
        <v>0</v>
      </c>
      <c r="U52" s="6">
        <f>IF($N52="",0,IF($S52="Blaze",bca_blaze,IF($S52="Spark",bca_spark,0))*IF($G52="Lễ",he_so_le,1))</f>
        <v>0</v>
      </c>
      <c r="V52" s="24">
        <f t="shared" si="2"/>
        <v>0</v>
      </c>
      <c r="W52" s="24">
        <f>IF(OR($F52&lt;&gt;"OPS",$H52=""),0,ROUND(IF(AND($H52&gt;=TIME(6,0,0),$H52&lt;TIME(8,0,0)),ops_0600_0800,IF(AND($H52&gt;=TIME(8,0,0),$H52&lt;TIME(18,0,0)),ops_0800_1800,IF(AND($H52&gt;=TIME(18,0,0),$H52&lt;TIME(22,0,0)),ops_1800_2200,IF(OR($H52&gt;=TIME(22,0,0),$H52&lt;TIME(1,0,0)),ops_2200_0100,IF(AND($H52&gt;=TIME(1,0,0),$H52&lt;TIME(6,0,0)),ops_0100_0600,0)))))+IF($G52="Lễ",ops_phu_troi_le,0),0))</f>
        <v>0</v>
      </c>
      <c r="X52" s="16">
        <f t="shared" si="3"/>
        <v>0</v>
      </c>
      <c r="Y52" s="6" t="str">
        <f>IF(OR($F52&lt;&gt;"OPS",$K52=""),"",IF($K52&lt;=ops_kg_1nguoi,1,ops_nguoi_toi_da))</f>
        <v/>
      </c>
      <c r="Z52" s="15" t="str">
        <f t="shared" si="4"/>
        <v/>
      </c>
      <c r="AA52" s="5"/>
    </row>
    <row r="53" spans="2:27">
      <c r="B53" s="6" t="str">
        <f>IF($D53="","",48)</f>
        <v/>
      </c>
      <c r="C53" s="19"/>
      <c r="D53" s="20"/>
      <c r="E53" s="15" t="str">
        <f>IFERROR(VLOOKUP(D53,Assumption!$B$69:$C$80,2,0),"")</f>
        <v/>
      </c>
      <c r="F53" s="20"/>
      <c r="G53" s="20"/>
      <c r="H53" s="21"/>
      <c r="I53" s="21"/>
      <c r="J53" s="5"/>
      <c r="K53" s="22"/>
      <c r="L53" s="22"/>
      <c r="M53" s="20"/>
      <c r="N53" s="23" t="str">
        <f>IF(OR($F53&lt;&gt;"TRUC_DEM",$H53=""),"",(HOUR($H53)+MINUTE($H53)/60)+IF((HOUR($H53)+MINUTE($H53)/60)&lt;moc_chia_ngay,24,0))</f>
        <v/>
      </c>
      <c r="O53" s="23" t="str">
        <f>IF(OR($F53&lt;&gt;"TRUC_DEM",$I53=""),"",(HOUR($I53)+MINUTE($I53)/60)+IF((HOUR($I53)+MINUTE($I53)/60)&lt;moc_chia_ngay,24,0))</f>
        <v/>
      </c>
      <c r="P53" s="17" t="str">
        <f>IF($N53="","",MAX(0,MIN($O53,moc_loi_tu)-MAX($N53,moc_dem_tu))+MAX(0,MIN($O53,moc_dem_den)-MAX($N53,moc_loi_den)))</f>
        <v/>
      </c>
      <c r="Q53" s="17" t="str">
        <f>IF($N53="","",MAX(0,MIN($O53,moc_loi_den)-MAX($N53,moc_loi_tu)))</f>
        <v/>
      </c>
      <c r="R53" s="17" t="str">
        <f t="shared" si="0"/>
        <v/>
      </c>
      <c r="S53" s="4" t="str">
        <f t="shared" si="1"/>
        <v/>
      </c>
      <c r="T53" s="6">
        <f>IF($N53="",0,($P53*rate_gio_bien+$Q53*rate_gio_loi)*IF($G53="Lễ",he_so_le,1))</f>
        <v>0</v>
      </c>
      <c r="U53" s="6">
        <f>IF($N53="",0,IF($S53="Blaze",bca_blaze,IF($S53="Spark",bca_spark,0))*IF($G53="Lễ",he_so_le,1))</f>
        <v>0</v>
      </c>
      <c r="V53" s="24">
        <f t="shared" si="2"/>
        <v>0</v>
      </c>
      <c r="W53" s="24">
        <f>IF(OR($F53&lt;&gt;"OPS",$H53=""),0,ROUND(IF(AND($H53&gt;=TIME(6,0,0),$H53&lt;TIME(8,0,0)),ops_0600_0800,IF(AND($H53&gt;=TIME(8,0,0),$H53&lt;TIME(18,0,0)),ops_0800_1800,IF(AND($H53&gt;=TIME(18,0,0),$H53&lt;TIME(22,0,0)),ops_1800_2200,IF(OR($H53&gt;=TIME(22,0,0),$H53&lt;TIME(1,0,0)),ops_2200_0100,IF(AND($H53&gt;=TIME(1,0,0),$H53&lt;TIME(6,0,0)),ops_0100_0600,0)))))+IF($G53="Lễ",ops_phu_troi_le,0),0))</f>
        <v>0</v>
      </c>
      <c r="X53" s="16">
        <f t="shared" si="3"/>
        <v>0</v>
      </c>
      <c r="Y53" s="6" t="str">
        <f>IF(OR($F53&lt;&gt;"OPS",$K53=""),"",IF($K53&lt;=ops_kg_1nguoi,1,ops_nguoi_toi_da))</f>
        <v/>
      </c>
      <c r="Z53" s="15" t="str">
        <f t="shared" si="4"/>
        <v/>
      </c>
      <c r="AA53" s="5"/>
    </row>
    <row r="54" spans="2:27">
      <c r="B54" s="6" t="str">
        <f>IF($D54="","",49)</f>
        <v/>
      </c>
      <c r="C54" s="19"/>
      <c r="D54" s="20"/>
      <c r="E54" s="15" t="str">
        <f>IFERROR(VLOOKUP(D54,Assumption!$B$69:$C$80,2,0),"")</f>
        <v/>
      </c>
      <c r="F54" s="20"/>
      <c r="G54" s="20"/>
      <c r="H54" s="21"/>
      <c r="I54" s="21"/>
      <c r="J54" s="5"/>
      <c r="K54" s="22"/>
      <c r="L54" s="22"/>
      <c r="M54" s="20"/>
      <c r="N54" s="23" t="str">
        <f>IF(OR($F54&lt;&gt;"TRUC_DEM",$H54=""),"",(HOUR($H54)+MINUTE($H54)/60)+IF((HOUR($H54)+MINUTE($H54)/60)&lt;moc_chia_ngay,24,0))</f>
        <v/>
      </c>
      <c r="O54" s="23" t="str">
        <f>IF(OR($F54&lt;&gt;"TRUC_DEM",$I54=""),"",(HOUR($I54)+MINUTE($I54)/60)+IF((HOUR($I54)+MINUTE($I54)/60)&lt;moc_chia_ngay,24,0))</f>
        <v/>
      </c>
      <c r="P54" s="17" t="str">
        <f>IF($N54="","",MAX(0,MIN($O54,moc_loi_tu)-MAX($N54,moc_dem_tu))+MAX(0,MIN($O54,moc_dem_den)-MAX($N54,moc_loi_den)))</f>
        <v/>
      </c>
      <c r="Q54" s="17" t="str">
        <f>IF($N54="","",MAX(0,MIN($O54,moc_loi_den)-MAX($N54,moc_loi_tu)))</f>
        <v/>
      </c>
      <c r="R54" s="17" t="str">
        <f t="shared" si="0"/>
        <v/>
      </c>
      <c r="S54" s="4" t="str">
        <f t="shared" si="1"/>
        <v/>
      </c>
      <c r="T54" s="6">
        <f>IF($N54="",0,($P54*rate_gio_bien+$Q54*rate_gio_loi)*IF($G54="Lễ",he_so_le,1))</f>
        <v>0</v>
      </c>
      <c r="U54" s="6">
        <f>IF($N54="",0,IF($S54="Blaze",bca_blaze,IF($S54="Spark",bca_spark,0))*IF($G54="Lễ",he_so_le,1))</f>
        <v>0</v>
      </c>
      <c r="V54" s="24">
        <f t="shared" si="2"/>
        <v>0</v>
      </c>
      <c r="W54" s="24">
        <f>IF(OR($F54&lt;&gt;"OPS",$H54=""),0,ROUND(IF(AND($H54&gt;=TIME(6,0,0),$H54&lt;TIME(8,0,0)),ops_0600_0800,IF(AND($H54&gt;=TIME(8,0,0),$H54&lt;TIME(18,0,0)),ops_0800_1800,IF(AND($H54&gt;=TIME(18,0,0),$H54&lt;TIME(22,0,0)),ops_1800_2200,IF(OR($H54&gt;=TIME(22,0,0),$H54&lt;TIME(1,0,0)),ops_2200_0100,IF(AND($H54&gt;=TIME(1,0,0),$H54&lt;TIME(6,0,0)),ops_0100_0600,0)))))+IF($G54="Lễ",ops_phu_troi_le,0),0))</f>
        <v>0</v>
      </c>
      <c r="X54" s="16">
        <f t="shared" si="3"/>
        <v>0</v>
      </c>
      <c r="Y54" s="6" t="str">
        <f>IF(OR($F54&lt;&gt;"OPS",$K54=""),"",IF($K54&lt;=ops_kg_1nguoi,1,ops_nguoi_toi_da))</f>
        <v/>
      </c>
      <c r="Z54" s="15" t="str">
        <f t="shared" si="4"/>
        <v/>
      </c>
      <c r="AA54" s="5"/>
    </row>
    <row r="55" spans="2:27">
      <c r="B55" s="6" t="str">
        <f>IF($D55="","",50)</f>
        <v/>
      </c>
      <c r="C55" s="19"/>
      <c r="D55" s="20"/>
      <c r="E55" s="15" t="str">
        <f>IFERROR(VLOOKUP(D55,Assumption!$B$69:$C$80,2,0),"")</f>
        <v/>
      </c>
      <c r="F55" s="20"/>
      <c r="G55" s="20"/>
      <c r="H55" s="21"/>
      <c r="I55" s="21"/>
      <c r="J55" s="5"/>
      <c r="K55" s="22"/>
      <c r="L55" s="22"/>
      <c r="M55" s="20"/>
      <c r="N55" s="23" t="str">
        <f>IF(OR($F55&lt;&gt;"TRUC_DEM",$H55=""),"",(HOUR($H55)+MINUTE($H55)/60)+IF((HOUR($H55)+MINUTE($H55)/60)&lt;moc_chia_ngay,24,0))</f>
        <v/>
      </c>
      <c r="O55" s="23" t="str">
        <f>IF(OR($F55&lt;&gt;"TRUC_DEM",$I55=""),"",(HOUR($I55)+MINUTE($I55)/60)+IF((HOUR($I55)+MINUTE($I55)/60)&lt;moc_chia_ngay,24,0))</f>
        <v/>
      </c>
      <c r="P55" s="17" t="str">
        <f>IF($N55="","",MAX(0,MIN($O55,moc_loi_tu)-MAX($N55,moc_dem_tu))+MAX(0,MIN($O55,moc_dem_den)-MAX($N55,moc_loi_den)))</f>
        <v/>
      </c>
      <c r="Q55" s="17" t="str">
        <f>IF($N55="","",MAX(0,MIN($O55,moc_loi_den)-MAX($N55,moc_loi_tu)))</f>
        <v/>
      </c>
      <c r="R55" s="17" t="str">
        <f t="shared" si="0"/>
        <v/>
      </c>
      <c r="S55" s="4" t="str">
        <f t="shared" si="1"/>
        <v/>
      </c>
      <c r="T55" s="6">
        <f>IF($N55="",0,($P55*rate_gio_bien+$Q55*rate_gio_loi)*IF($G55="Lễ",he_so_le,1))</f>
        <v>0</v>
      </c>
      <c r="U55" s="6">
        <f>IF($N55="",0,IF($S55="Blaze",bca_blaze,IF($S55="Spark",bca_spark,0))*IF($G55="Lễ",he_so_le,1))</f>
        <v>0</v>
      </c>
      <c r="V55" s="24">
        <f t="shared" si="2"/>
        <v>0</v>
      </c>
      <c r="W55" s="24">
        <f>IF(OR($F55&lt;&gt;"OPS",$H55=""),0,ROUND(IF(AND($H55&gt;=TIME(6,0,0),$H55&lt;TIME(8,0,0)),ops_0600_0800,IF(AND($H55&gt;=TIME(8,0,0),$H55&lt;TIME(18,0,0)),ops_0800_1800,IF(AND($H55&gt;=TIME(18,0,0),$H55&lt;TIME(22,0,0)),ops_1800_2200,IF(OR($H55&gt;=TIME(22,0,0),$H55&lt;TIME(1,0,0)),ops_2200_0100,IF(AND($H55&gt;=TIME(1,0,0),$H55&lt;TIME(6,0,0)),ops_0100_0600,0)))))+IF($G55="Lễ",ops_phu_troi_le,0),0))</f>
        <v>0</v>
      </c>
      <c r="X55" s="16">
        <f t="shared" si="3"/>
        <v>0</v>
      </c>
      <c r="Y55" s="6" t="str">
        <f>IF(OR($F55&lt;&gt;"OPS",$K55=""),"",IF($K55&lt;=ops_kg_1nguoi,1,ops_nguoi_toi_da))</f>
        <v/>
      </c>
      <c r="Z55" s="15" t="str">
        <f t="shared" si="4"/>
        <v/>
      </c>
      <c r="AA55" s="5"/>
    </row>
    <row r="56" spans="2:27">
      <c r="B56" s="6" t="str">
        <f>IF($D56="","",51)</f>
        <v/>
      </c>
      <c r="C56" s="19"/>
      <c r="D56" s="20"/>
      <c r="E56" s="15" t="str">
        <f>IFERROR(VLOOKUP(D56,Assumption!$B$69:$C$80,2,0),"")</f>
        <v/>
      </c>
      <c r="F56" s="20"/>
      <c r="G56" s="20"/>
      <c r="H56" s="21"/>
      <c r="I56" s="21"/>
      <c r="J56" s="5"/>
      <c r="K56" s="22"/>
      <c r="L56" s="22"/>
      <c r="M56" s="20"/>
      <c r="N56" s="23" t="str">
        <f>IF(OR($F56&lt;&gt;"TRUC_DEM",$H56=""),"",(HOUR($H56)+MINUTE($H56)/60)+IF((HOUR($H56)+MINUTE($H56)/60)&lt;moc_chia_ngay,24,0))</f>
        <v/>
      </c>
      <c r="O56" s="23" t="str">
        <f>IF(OR($F56&lt;&gt;"TRUC_DEM",$I56=""),"",(HOUR($I56)+MINUTE($I56)/60)+IF((HOUR($I56)+MINUTE($I56)/60)&lt;moc_chia_ngay,24,0))</f>
        <v/>
      </c>
      <c r="P56" s="17" t="str">
        <f>IF($N56="","",MAX(0,MIN($O56,moc_loi_tu)-MAX($N56,moc_dem_tu))+MAX(0,MIN($O56,moc_dem_den)-MAX($N56,moc_loi_den)))</f>
        <v/>
      </c>
      <c r="Q56" s="17" t="str">
        <f>IF($N56="","",MAX(0,MIN($O56,moc_loi_den)-MAX($N56,moc_loi_tu)))</f>
        <v/>
      </c>
      <c r="R56" s="17" t="str">
        <f t="shared" si="0"/>
        <v/>
      </c>
      <c r="S56" s="4" t="str">
        <f t="shared" si="1"/>
        <v/>
      </c>
      <c r="T56" s="6">
        <f>IF($N56="",0,($P56*rate_gio_bien+$Q56*rate_gio_loi)*IF($G56="Lễ",he_so_le,1))</f>
        <v>0</v>
      </c>
      <c r="U56" s="6">
        <f>IF($N56="",0,IF($S56="Blaze",bca_blaze,IF($S56="Spark",bca_spark,0))*IF($G56="Lễ",he_so_le,1))</f>
        <v>0</v>
      </c>
      <c r="V56" s="24">
        <f t="shared" si="2"/>
        <v>0</v>
      </c>
      <c r="W56" s="24">
        <f>IF(OR($F56&lt;&gt;"OPS",$H56=""),0,ROUND(IF(AND($H56&gt;=TIME(6,0,0),$H56&lt;TIME(8,0,0)),ops_0600_0800,IF(AND($H56&gt;=TIME(8,0,0),$H56&lt;TIME(18,0,0)),ops_0800_1800,IF(AND($H56&gt;=TIME(18,0,0),$H56&lt;TIME(22,0,0)),ops_1800_2200,IF(OR($H56&gt;=TIME(22,0,0),$H56&lt;TIME(1,0,0)),ops_2200_0100,IF(AND($H56&gt;=TIME(1,0,0),$H56&lt;TIME(6,0,0)),ops_0100_0600,0)))))+IF($G56="Lễ",ops_phu_troi_le,0),0))</f>
        <v>0</v>
      </c>
      <c r="X56" s="16">
        <f t="shared" si="3"/>
        <v>0</v>
      </c>
      <c r="Y56" s="6" t="str">
        <f>IF(OR($F56&lt;&gt;"OPS",$K56=""),"",IF($K56&lt;=ops_kg_1nguoi,1,ops_nguoi_toi_da))</f>
        <v/>
      </c>
      <c r="Z56" s="15" t="str">
        <f t="shared" si="4"/>
        <v/>
      </c>
      <c r="AA56" s="5"/>
    </row>
    <row r="57" spans="2:27">
      <c r="B57" s="6" t="str">
        <f>IF($D57="","",52)</f>
        <v/>
      </c>
      <c r="C57" s="19"/>
      <c r="D57" s="20"/>
      <c r="E57" s="15" t="str">
        <f>IFERROR(VLOOKUP(D57,Assumption!$B$69:$C$80,2,0),"")</f>
        <v/>
      </c>
      <c r="F57" s="20"/>
      <c r="G57" s="20"/>
      <c r="H57" s="21"/>
      <c r="I57" s="21"/>
      <c r="J57" s="5"/>
      <c r="K57" s="22"/>
      <c r="L57" s="22"/>
      <c r="M57" s="20"/>
      <c r="N57" s="23" t="str">
        <f>IF(OR($F57&lt;&gt;"TRUC_DEM",$H57=""),"",(HOUR($H57)+MINUTE($H57)/60)+IF((HOUR($H57)+MINUTE($H57)/60)&lt;moc_chia_ngay,24,0))</f>
        <v/>
      </c>
      <c r="O57" s="23" t="str">
        <f>IF(OR($F57&lt;&gt;"TRUC_DEM",$I57=""),"",(HOUR($I57)+MINUTE($I57)/60)+IF((HOUR($I57)+MINUTE($I57)/60)&lt;moc_chia_ngay,24,0))</f>
        <v/>
      </c>
      <c r="P57" s="17" t="str">
        <f>IF($N57="","",MAX(0,MIN($O57,moc_loi_tu)-MAX($N57,moc_dem_tu))+MAX(0,MIN($O57,moc_dem_den)-MAX($N57,moc_loi_den)))</f>
        <v/>
      </c>
      <c r="Q57" s="17" t="str">
        <f>IF($N57="","",MAX(0,MIN($O57,moc_loi_den)-MAX($N57,moc_loi_tu)))</f>
        <v/>
      </c>
      <c r="R57" s="17" t="str">
        <f t="shared" si="0"/>
        <v/>
      </c>
      <c r="S57" s="4" t="str">
        <f t="shared" si="1"/>
        <v/>
      </c>
      <c r="T57" s="6">
        <f>IF($N57="",0,($P57*rate_gio_bien+$Q57*rate_gio_loi)*IF($G57="Lễ",he_so_le,1))</f>
        <v>0</v>
      </c>
      <c r="U57" s="6">
        <f>IF($N57="",0,IF($S57="Blaze",bca_blaze,IF($S57="Spark",bca_spark,0))*IF($G57="Lễ",he_so_le,1))</f>
        <v>0</v>
      </c>
      <c r="V57" s="24">
        <f t="shared" si="2"/>
        <v>0</v>
      </c>
      <c r="W57" s="24">
        <f>IF(OR($F57&lt;&gt;"OPS",$H57=""),0,ROUND(IF(AND($H57&gt;=TIME(6,0,0),$H57&lt;TIME(8,0,0)),ops_0600_0800,IF(AND($H57&gt;=TIME(8,0,0),$H57&lt;TIME(18,0,0)),ops_0800_1800,IF(AND($H57&gt;=TIME(18,0,0),$H57&lt;TIME(22,0,0)),ops_1800_2200,IF(OR($H57&gt;=TIME(22,0,0),$H57&lt;TIME(1,0,0)),ops_2200_0100,IF(AND($H57&gt;=TIME(1,0,0),$H57&lt;TIME(6,0,0)),ops_0100_0600,0)))))+IF($G57="Lễ",ops_phu_troi_le,0),0))</f>
        <v>0</v>
      </c>
      <c r="X57" s="16">
        <f t="shared" si="3"/>
        <v>0</v>
      </c>
      <c r="Y57" s="6" t="str">
        <f>IF(OR($F57&lt;&gt;"OPS",$K57=""),"",IF($K57&lt;=ops_kg_1nguoi,1,ops_nguoi_toi_da))</f>
        <v/>
      </c>
      <c r="Z57" s="15" t="str">
        <f t="shared" si="4"/>
        <v/>
      </c>
      <c r="AA57" s="5"/>
    </row>
    <row r="58" spans="2:27">
      <c r="B58" s="6" t="str">
        <f>IF($D58="","",53)</f>
        <v/>
      </c>
      <c r="C58" s="19"/>
      <c r="D58" s="20"/>
      <c r="E58" s="15" t="str">
        <f>IFERROR(VLOOKUP(D58,Assumption!$B$69:$C$80,2,0),"")</f>
        <v/>
      </c>
      <c r="F58" s="20"/>
      <c r="G58" s="20"/>
      <c r="H58" s="21"/>
      <c r="I58" s="21"/>
      <c r="J58" s="5"/>
      <c r="K58" s="22"/>
      <c r="L58" s="22"/>
      <c r="M58" s="20"/>
      <c r="N58" s="23" t="str">
        <f>IF(OR($F58&lt;&gt;"TRUC_DEM",$H58=""),"",(HOUR($H58)+MINUTE($H58)/60)+IF((HOUR($H58)+MINUTE($H58)/60)&lt;moc_chia_ngay,24,0))</f>
        <v/>
      </c>
      <c r="O58" s="23" t="str">
        <f>IF(OR($F58&lt;&gt;"TRUC_DEM",$I58=""),"",(HOUR($I58)+MINUTE($I58)/60)+IF((HOUR($I58)+MINUTE($I58)/60)&lt;moc_chia_ngay,24,0))</f>
        <v/>
      </c>
      <c r="P58" s="17" t="str">
        <f>IF($N58="","",MAX(0,MIN($O58,moc_loi_tu)-MAX($N58,moc_dem_tu))+MAX(0,MIN($O58,moc_dem_den)-MAX($N58,moc_loi_den)))</f>
        <v/>
      </c>
      <c r="Q58" s="17" t="str">
        <f>IF($N58="","",MAX(0,MIN($O58,moc_loi_den)-MAX($N58,moc_loi_tu)))</f>
        <v/>
      </c>
      <c r="R58" s="17" t="str">
        <f t="shared" si="0"/>
        <v/>
      </c>
      <c r="S58" s="4" t="str">
        <f t="shared" si="1"/>
        <v/>
      </c>
      <c r="T58" s="6">
        <f>IF($N58="",0,($P58*rate_gio_bien+$Q58*rate_gio_loi)*IF($G58="Lễ",he_so_le,1))</f>
        <v>0</v>
      </c>
      <c r="U58" s="6">
        <f>IF($N58="",0,IF($S58="Blaze",bca_blaze,IF($S58="Spark",bca_spark,0))*IF($G58="Lễ",he_so_le,1))</f>
        <v>0</v>
      </c>
      <c r="V58" s="24">
        <f t="shared" si="2"/>
        <v>0</v>
      </c>
      <c r="W58" s="24">
        <f>IF(OR($F58&lt;&gt;"OPS",$H58=""),0,ROUND(IF(AND($H58&gt;=TIME(6,0,0),$H58&lt;TIME(8,0,0)),ops_0600_0800,IF(AND($H58&gt;=TIME(8,0,0),$H58&lt;TIME(18,0,0)),ops_0800_1800,IF(AND($H58&gt;=TIME(18,0,0),$H58&lt;TIME(22,0,0)),ops_1800_2200,IF(OR($H58&gt;=TIME(22,0,0),$H58&lt;TIME(1,0,0)),ops_2200_0100,IF(AND($H58&gt;=TIME(1,0,0),$H58&lt;TIME(6,0,0)),ops_0100_0600,0)))))+IF($G58="Lễ",ops_phu_troi_le,0),0))</f>
        <v>0</v>
      </c>
      <c r="X58" s="16">
        <f t="shared" si="3"/>
        <v>0</v>
      </c>
      <c r="Y58" s="6" t="str">
        <f>IF(OR($F58&lt;&gt;"OPS",$K58=""),"",IF($K58&lt;=ops_kg_1nguoi,1,ops_nguoi_toi_da))</f>
        <v/>
      </c>
      <c r="Z58" s="15" t="str">
        <f t="shared" si="4"/>
        <v/>
      </c>
      <c r="AA58" s="5"/>
    </row>
    <row r="59" spans="2:27">
      <c r="B59" s="6" t="str">
        <f>IF($D59="","",54)</f>
        <v/>
      </c>
      <c r="C59" s="19"/>
      <c r="D59" s="20"/>
      <c r="E59" s="15" t="str">
        <f>IFERROR(VLOOKUP(D59,Assumption!$B$69:$C$80,2,0),"")</f>
        <v/>
      </c>
      <c r="F59" s="20"/>
      <c r="G59" s="20"/>
      <c r="H59" s="21"/>
      <c r="I59" s="21"/>
      <c r="J59" s="5"/>
      <c r="K59" s="22"/>
      <c r="L59" s="22"/>
      <c r="M59" s="20"/>
      <c r="N59" s="23" t="str">
        <f>IF(OR($F59&lt;&gt;"TRUC_DEM",$H59=""),"",(HOUR($H59)+MINUTE($H59)/60)+IF((HOUR($H59)+MINUTE($H59)/60)&lt;moc_chia_ngay,24,0))</f>
        <v/>
      </c>
      <c r="O59" s="23" t="str">
        <f>IF(OR($F59&lt;&gt;"TRUC_DEM",$I59=""),"",(HOUR($I59)+MINUTE($I59)/60)+IF((HOUR($I59)+MINUTE($I59)/60)&lt;moc_chia_ngay,24,0))</f>
        <v/>
      </c>
      <c r="P59" s="17" t="str">
        <f>IF($N59="","",MAX(0,MIN($O59,moc_loi_tu)-MAX($N59,moc_dem_tu))+MAX(0,MIN($O59,moc_dem_den)-MAX($N59,moc_loi_den)))</f>
        <v/>
      </c>
      <c r="Q59" s="17" t="str">
        <f>IF($N59="","",MAX(0,MIN($O59,moc_loi_den)-MAX($N59,moc_loi_tu)))</f>
        <v/>
      </c>
      <c r="R59" s="17" t="str">
        <f t="shared" si="0"/>
        <v/>
      </c>
      <c r="S59" s="4" t="str">
        <f t="shared" si="1"/>
        <v/>
      </c>
      <c r="T59" s="6">
        <f>IF($N59="",0,($P59*rate_gio_bien+$Q59*rate_gio_loi)*IF($G59="Lễ",he_so_le,1))</f>
        <v>0</v>
      </c>
      <c r="U59" s="6">
        <f>IF($N59="",0,IF($S59="Blaze",bca_blaze,IF($S59="Spark",bca_spark,0))*IF($G59="Lễ",he_so_le,1))</f>
        <v>0</v>
      </c>
      <c r="V59" s="24">
        <f t="shared" si="2"/>
        <v>0</v>
      </c>
      <c r="W59" s="24">
        <f>IF(OR($F59&lt;&gt;"OPS",$H59=""),0,ROUND(IF(AND($H59&gt;=TIME(6,0,0),$H59&lt;TIME(8,0,0)),ops_0600_0800,IF(AND($H59&gt;=TIME(8,0,0),$H59&lt;TIME(18,0,0)),ops_0800_1800,IF(AND($H59&gt;=TIME(18,0,0),$H59&lt;TIME(22,0,0)),ops_1800_2200,IF(OR($H59&gt;=TIME(22,0,0),$H59&lt;TIME(1,0,0)),ops_2200_0100,IF(AND($H59&gt;=TIME(1,0,0),$H59&lt;TIME(6,0,0)),ops_0100_0600,0)))))+IF($G59="Lễ",ops_phu_troi_le,0),0))</f>
        <v>0</v>
      </c>
      <c r="X59" s="16">
        <f t="shared" si="3"/>
        <v>0</v>
      </c>
      <c r="Y59" s="6" t="str">
        <f>IF(OR($F59&lt;&gt;"OPS",$K59=""),"",IF($K59&lt;=ops_kg_1nguoi,1,ops_nguoi_toi_da))</f>
        <v/>
      </c>
      <c r="Z59" s="15" t="str">
        <f t="shared" si="4"/>
        <v/>
      </c>
      <c r="AA59" s="5"/>
    </row>
    <row r="60" spans="2:27">
      <c r="B60" s="6" t="str">
        <f>IF($D60="","",55)</f>
        <v/>
      </c>
      <c r="C60" s="19"/>
      <c r="D60" s="20"/>
      <c r="E60" s="15" t="str">
        <f>IFERROR(VLOOKUP(D60,Assumption!$B$69:$C$80,2,0),"")</f>
        <v/>
      </c>
      <c r="F60" s="20"/>
      <c r="G60" s="20"/>
      <c r="H60" s="21"/>
      <c r="I60" s="21"/>
      <c r="J60" s="5"/>
      <c r="K60" s="22"/>
      <c r="L60" s="22"/>
      <c r="M60" s="20"/>
      <c r="N60" s="23" t="str">
        <f>IF(OR($F60&lt;&gt;"TRUC_DEM",$H60=""),"",(HOUR($H60)+MINUTE($H60)/60)+IF((HOUR($H60)+MINUTE($H60)/60)&lt;moc_chia_ngay,24,0))</f>
        <v/>
      </c>
      <c r="O60" s="23" t="str">
        <f>IF(OR($F60&lt;&gt;"TRUC_DEM",$I60=""),"",(HOUR($I60)+MINUTE($I60)/60)+IF((HOUR($I60)+MINUTE($I60)/60)&lt;moc_chia_ngay,24,0))</f>
        <v/>
      </c>
      <c r="P60" s="17" t="str">
        <f>IF($N60="","",MAX(0,MIN($O60,moc_loi_tu)-MAX($N60,moc_dem_tu))+MAX(0,MIN($O60,moc_dem_den)-MAX($N60,moc_loi_den)))</f>
        <v/>
      </c>
      <c r="Q60" s="17" t="str">
        <f>IF($N60="","",MAX(0,MIN($O60,moc_loi_den)-MAX($N60,moc_loi_tu)))</f>
        <v/>
      </c>
      <c r="R60" s="17" t="str">
        <f t="shared" si="0"/>
        <v/>
      </c>
      <c r="S60" s="4" t="str">
        <f t="shared" si="1"/>
        <v/>
      </c>
      <c r="T60" s="6">
        <f>IF($N60="",0,($P60*rate_gio_bien+$Q60*rate_gio_loi)*IF($G60="Lễ",he_so_le,1))</f>
        <v>0</v>
      </c>
      <c r="U60" s="6">
        <f>IF($N60="",0,IF($S60="Blaze",bca_blaze,IF($S60="Spark",bca_spark,0))*IF($G60="Lễ",he_so_le,1))</f>
        <v>0</v>
      </c>
      <c r="V60" s="24">
        <f t="shared" si="2"/>
        <v>0</v>
      </c>
      <c r="W60" s="24">
        <f>IF(OR($F60&lt;&gt;"OPS",$H60=""),0,ROUND(IF(AND($H60&gt;=TIME(6,0,0),$H60&lt;TIME(8,0,0)),ops_0600_0800,IF(AND($H60&gt;=TIME(8,0,0),$H60&lt;TIME(18,0,0)),ops_0800_1800,IF(AND($H60&gt;=TIME(18,0,0),$H60&lt;TIME(22,0,0)),ops_1800_2200,IF(OR($H60&gt;=TIME(22,0,0),$H60&lt;TIME(1,0,0)),ops_2200_0100,IF(AND($H60&gt;=TIME(1,0,0),$H60&lt;TIME(6,0,0)),ops_0100_0600,0)))))+IF($G60="Lễ",ops_phu_troi_le,0),0))</f>
        <v>0</v>
      </c>
      <c r="X60" s="16">
        <f t="shared" si="3"/>
        <v>0</v>
      </c>
      <c r="Y60" s="6" t="str">
        <f>IF(OR($F60&lt;&gt;"OPS",$K60=""),"",IF($K60&lt;=ops_kg_1nguoi,1,ops_nguoi_toi_da))</f>
        <v/>
      </c>
      <c r="Z60" s="15" t="str">
        <f t="shared" si="4"/>
        <v/>
      </c>
      <c r="AA60" s="5"/>
    </row>
    <row r="61" spans="2:27">
      <c r="B61" s="6" t="str">
        <f>IF($D61="","",56)</f>
        <v/>
      </c>
      <c r="C61" s="19"/>
      <c r="D61" s="20"/>
      <c r="E61" s="15" t="str">
        <f>IFERROR(VLOOKUP(D61,Assumption!$B$69:$C$80,2,0),"")</f>
        <v/>
      </c>
      <c r="F61" s="20"/>
      <c r="G61" s="20"/>
      <c r="H61" s="21"/>
      <c r="I61" s="21"/>
      <c r="J61" s="5"/>
      <c r="K61" s="22"/>
      <c r="L61" s="22"/>
      <c r="M61" s="20"/>
      <c r="N61" s="23" t="str">
        <f>IF(OR($F61&lt;&gt;"TRUC_DEM",$H61=""),"",(HOUR($H61)+MINUTE($H61)/60)+IF((HOUR($H61)+MINUTE($H61)/60)&lt;moc_chia_ngay,24,0))</f>
        <v/>
      </c>
      <c r="O61" s="23" t="str">
        <f>IF(OR($F61&lt;&gt;"TRUC_DEM",$I61=""),"",(HOUR($I61)+MINUTE($I61)/60)+IF((HOUR($I61)+MINUTE($I61)/60)&lt;moc_chia_ngay,24,0))</f>
        <v/>
      </c>
      <c r="P61" s="17" t="str">
        <f>IF($N61="","",MAX(0,MIN($O61,moc_loi_tu)-MAX($N61,moc_dem_tu))+MAX(0,MIN($O61,moc_dem_den)-MAX($N61,moc_loi_den)))</f>
        <v/>
      </c>
      <c r="Q61" s="17" t="str">
        <f>IF($N61="","",MAX(0,MIN($O61,moc_loi_den)-MAX($N61,moc_loi_tu)))</f>
        <v/>
      </c>
      <c r="R61" s="17" t="str">
        <f t="shared" si="0"/>
        <v/>
      </c>
      <c r="S61" s="4" t="str">
        <f t="shared" si="1"/>
        <v/>
      </c>
      <c r="T61" s="6">
        <f>IF($N61="",0,($P61*rate_gio_bien+$Q61*rate_gio_loi)*IF($G61="Lễ",he_so_le,1))</f>
        <v>0</v>
      </c>
      <c r="U61" s="6">
        <f>IF($N61="",0,IF($S61="Blaze",bca_blaze,IF($S61="Spark",bca_spark,0))*IF($G61="Lễ",he_so_le,1))</f>
        <v>0</v>
      </c>
      <c r="V61" s="24">
        <f t="shared" si="2"/>
        <v>0</v>
      </c>
      <c r="W61" s="24">
        <f>IF(OR($F61&lt;&gt;"OPS",$H61=""),0,ROUND(IF(AND($H61&gt;=TIME(6,0,0),$H61&lt;TIME(8,0,0)),ops_0600_0800,IF(AND($H61&gt;=TIME(8,0,0),$H61&lt;TIME(18,0,0)),ops_0800_1800,IF(AND($H61&gt;=TIME(18,0,0),$H61&lt;TIME(22,0,0)),ops_1800_2200,IF(OR($H61&gt;=TIME(22,0,0),$H61&lt;TIME(1,0,0)),ops_2200_0100,IF(AND($H61&gt;=TIME(1,0,0),$H61&lt;TIME(6,0,0)),ops_0100_0600,0)))))+IF($G61="Lễ",ops_phu_troi_le,0),0))</f>
        <v>0</v>
      </c>
      <c r="X61" s="16">
        <f t="shared" si="3"/>
        <v>0</v>
      </c>
      <c r="Y61" s="6" t="str">
        <f>IF(OR($F61&lt;&gt;"OPS",$K61=""),"",IF($K61&lt;=ops_kg_1nguoi,1,ops_nguoi_toi_da))</f>
        <v/>
      </c>
      <c r="Z61" s="15" t="str">
        <f t="shared" si="4"/>
        <v/>
      </c>
      <c r="AA61" s="5"/>
    </row>
    <row r="62" spans="2:27">
      <c r="B62" s="6" t="str">
        <f>IF($D62="","",57)</f>
        <v/>
      </c>
      <c r="C62" s="19"/>
      <c r="D62" s="20"/>
      <c r="E62" s="15" t="str">
        <f>IFERROR(VLOOKUP(D62,Assumption!$B$69:$C$80,2,0),"")</f>
        <v/>
      </c>
      <c r="F62" s="20"/>
      <c r="G62" s="20"/>
      <c r="H62" s="21"/>
      <c r="I62" s="21"/>
      <c r="J62" s="5"/>
      <c r="K62" s="22"/>
      <c r="L62" s="22"/>
      <c r="M62" s="20"/>
      <c r="N62" s="23" t="str">
        <f>IF(OR($F62&lt;&gt;"TRUC_DEM",$H62=""),"",(HOUR($H62)+MINUTE($H62)/60)+IF((HOUR($H62)+MINUTE($H62)/60)&lt;moc_chia_ngay,24,0))</f>
        <v/>
      </c>
      <c r="O62" s="23" t="str">
        <f>IF(OR($F62&lt;&gt;"TRUC_DEM",$I62=""),"",(HOUR($I62)+MINUTE($I62)/60)+IF((HOUR($I62)+MINUTE($I62)/60)&lt;moc_chia_ngay,24,0))</f>
        <v/>
      </c>
      <c r="P62" s="17" t="str">
        <f>IF($N62="","",MAX(0,MIN($O62,moc_loi_tu)-MAX($N62,moc_dem_tu))+MAX(0,MIN($O62,moc_dem_den)-MAX($N62,moc_loi_den)))</f>
        <v/>
      </c>
      <c r="Q62" s="17" t="str">
        <f>IF($N62="","",MAX(0,MIN($O62,moc_loi_den)-MAX($N62,moc_loi_tu)))</f>
        <v/>
      </c>
      <c r="R62" s="17" t="str">
        <f t="shared" si="0"/>
        <v/>
      </c>
      <c r="S62" s="4" t="str">
        <f t="shared" si="1"/>
        <v/>
      </c>
      <c r="T62" s="6">
        <f>IF($N62="",0,($P62*rate_gio_bien+$Q62*rate_gio_loi)*IF($G62="Lễ",he_so_le,1))</f>
        <v>0</v>
      </c>
      <c r="U62" s="6">
        <f>IF($N62="",0,IF($S62="Blaze",bca_blaze,IF($S62="Spark",bca_spark,0))*IF($G62="Lễ",he_so_le,1))</f>
        <v>0</v>
      </c>
      <c r="V62" s="24">
        <f t="shared" si="2"/>
        <v>0</v>
      </c>
      <c r="W62" s="24">
        <f>IF(OR($F62&lt;&gt;"OPS",$H62=""),0,ROUND(IF(AND($H62&gt;=TIME(6,0,0),$H62&lt;TIME(8,0,0)),ops_0600_0800,IF(AND($H62&gt;=TIME(8,0,0),$H62&lt;TIME(18,0,0)),ops_0800_1800,IF(AND($H62&gt;=TIME(18,0,0),$H62&lt;TIME(22,0,0)),ops_1800_2200,IF(OR($H62&gt;=TIME(22,0,0),$H62&lt;TIME(1,0,0)),ops_2200_0100,IF(AND($H62&gt;=TIME(1,0,0),$H62&lt;TIME(6,0,0)),ops_0100_0600,0)))))+IF($G62="Lễ",ops_phu_troi_le,0),0))</f>
        <v>0</v>
      </c>
      <c r="X62" s="16">
        <f t="shared" si="3"/>
        <v>0</v>
      </c>
      <c r="Y62" s="6" t="str">
        <f>IF(OR($F62&lt;&gt;"OPS",$K62=""),"",IF($K62&lt;=ops_kg_1nguoi,1,ops_nguoi_toi_da))</f>
        <v/>
      </c>
      <c r="Z62" s="15" t="str">
        <f t="shared" si="4"/>
        <v/>
      </c>
      <c r="AA62" s="5"/>
    </row>
    <row r="63" spans="2:27">
      <c r="B63" s="6" t="str">
        <f>IF($D63="","",58)</f>
        <v/>
      </c>
      <c r="C63" s="19"/>
      <c r="D63" s="20"/>
      <c r="E63" s="15" t="str">
        <f>IFERROR(VLOOKUP(D63,Assumption!$B$69:$C$80,2,0),"")</f>
        <v/>
      </c>
      <c r="F63" s="20"/>
      <c r="G63" s="20"/>
      <c r="H63" s="21"/>
      <c r="I63" s="21"/>
      <c r="J63" s="5"/>
      <c r="K63" s="22"/>
      <c r="L63" s="22"/>
      <c r="M63" s="20"/>
      <c r="N63" s="23" t="str">
        <f>IF(OR($F63&lt;&gt;"TRUC_DEM",$H63=""),"",(HOUR($H63)+MINUTE($H63)/60)+IF((HOUR($H63)+MINUTE($H63)/60)&lt;moc_chia_ngay,24,0))</f>
        <v/>
      </c>
      <c r="O63" s="23" t="str">
        <f>IF(OR($F63&lt;&gt;"TRUC_DEM",$I63=""),"",(HOUR($I63)+MINUTE($I63)/60)+IF((HOUR($I63)+MINUTE($I63)/60)&lt;moc_chia_ngay,24,0))</f>
        <v/>
      </c>
      <c r="P63" s="17" t="str">
        <f>IF($N63="","",MAX(0,MIN($O63,moc_loi_tu)-MAX($N63,moc_dem_tu))+MAX(0,MIN($O63,moc_dem_den)-MAX($N63,moc_loi_den)))</f>
        <v/>
      </c>
      <c r="Q63" s="17" t="str">
        <f>IF($N63="","",MAX(0,MIN($O63,moc_loi_den)-MAX($N63,moc_loi_tu)))</f>
        <v/>
      </c>
      <c r="R63" s="17" t="str">
        <f t="shared" si="0"/>
        <v/>
      </c>
      <c r="S63" s="4" t="str">
        <f t="shared" si="1"/>
        <v/>
      </c>
      <c r="T63" s="6">
        <f>IF($N63="",0,($P63*rate_gio_bien+$Q63*rate_gio_loi)*IF($G63="Lễ",he_so_le,1))</f>
        <v>0</v>
      </c>
      <c r="U63" s="6">
        <f>IF($N63="",0,IF($S63="Blaze",bca_blaze,IF($S63="Spark",bca_spark,0))*IF($G63="Lễ",he_so_le,1))</f>
        <v>0</v>
      </c>
      <c r="V63" s="24">
        <f t="shared" si="2"/>
        <v>0</v>
      </c>
      <c r="W63" s="24">
        <f>IF(OR($F63&lt;&gt;"OPS",$H63=""),0,ROUND(IF(AND($H63&gt;=TIME(6,0,0),$H63&lt;TIME(8,0,0)),ops_0600_0800,IF(AND($H63&gt;=TIME(8,0,0),$H63&lt;TIME(18,0,0)),ops_0800_1800,IF(AND($H63&gt;=TIME(18,0,0),$H63&lt;TIME(22,0,0)),ops_1800_2200,IF(OR($H63&gt;=TIME(22,0,0),$H63&lt;TIME(1,0,0)),ops_2200_0100,IF(AND($H63&gt;=TIME(1,0,0),$H63&lt;TIME(6,0,0)),ops_0100_0600,0)))))+IF($G63="Lễ",ops_phu_troi_le,0),0))</f>
        <v>0</v>
      </c>
      <c r="X63" s="16">
        <f t="shared" si="3"/>
        <v>0</v>
      </c>
      <c r="Y63" s="6" t="str">
        <f>IF(OR($F63&lt;&gt;"OPS",$K63=""),"",IF($K63&lt;=ops_kg_1nguoi,1,ops_nguoi_toi_da))</f>
        <v/>
      </c>
      <c r="Z63" s="15" t="str">
        <f t="shared" si="4"/>
        <v/>
      </c>
      <c r="AA63" s="5"/>
    </row>
    <row r="64" spans="2:27">
      <c r="B64" s="6" t="str">
        <f>IF($D64="","",59)</f>
        <v/>
      </c>
      <c r="C64" s="19"/>
      <c r="D64" s="20"/>
      <c r="E64" s="15" t="str">
        <f>IFERROR(VLOOKUP(D64,Assumption!$B$69:$C$80,2,0),"")</f>
        <v/>
      </c>
      <c r="F64" s="20"/>
      <c r="G64" s="20"/>
      <c r="H64" s="21"/>
      <c r="I64" s="21"/>
      <c r="J64" s="5"/>
      <c r="K64" s="22"/>
      <c r="L64" s="22"/>
      <c r="M64" s="20"/>
      <c r="N64" s="23" t="str">
        <f>IF(OR($F64&lt;&gt;"TRUC_DEM",$H64=""),"",(HOUR($H64)+MINUTE($H64)/60)+IF((HOUR($H64)+MINUTE($H64)/60)&lt;moc_chia_ngay,24,0))</f>
        <v/>
      </c>
      <c r="O64" s="23" t="str">
        <f>IF(OR($F64&lt;&gt;"TRUC_DEM",$I64=""),"",(HOUR($I64)+MINUTE($I64)/60)+IF((HOUR($I64)+MINUTE($I64)/60)&lt;moc_chia_ngay,24,0))</f>
        <v/>
      </c>
      <c r="P64" s="17" t="str">
        <f>IF($N64="","",MAX(0,MIN($O64,moc_loi_tu)-MAX($N64,moc_dem_tu))+MAX(0,MIN($O64,moc_dem_den)-MAX($N64,moc_loi_den)))</f>
        <v/>
      </c>
      <c r="Q64" s="17" t="str">
        <f>IF($N64="","",MAX(0,MIN($O64,moc_loi_den)-MAX($N64,moc_loi_tu)))</f>
        <v/>
      </c>
      <c r="R64" s="17" t="str">
        <f t="shared" si="0"/>
        <v/>
      </c>
      <c r="S64" s="4" t="str">
        <f t="shared" si="1"/>
        <v/>
      </c>
      <c r="T64" s="6">
        <f>IF($N64="",0,($P64*rate_gio_bien+$Q64*rate_gio_loi)*IF($G64="Lễ",he_so_le,1))</f>
        <v>0</v>
      </c>
      <c r="U64" s="6">
        <f>IF($N64="",0,IF($S64="Blaze",bca_blaze,IF($S64="Spark",bca_spark,0))*IF($G64="Lễ",he_so_le,1))</f>
        <v>0</v>
      </c>
      <c r="V64" s="24">
        <f t="shared" si="2"/>
        <v>0</v>
      </c>
      <c r="W64" s="24">
        <f>IF(OR($F64&lt;&gt;"OPS",$H64=""),0,ROUND(IF(AND($H64&gt;=TIME(6,0,0),$H64&lt;TIME(8,0,0)),ops_0600_0800,IF(AND($H64&gt;=TIME(8,0,0),$H64&lt;TIME(18,0,0)),ops_0800_1800,IF(AND($H64&gt;=TIME(18,0,0),$H64&lt;TIME(22,0,0)),ops_1800_2200,IF(OR($H64&gt;=TIME(22,0,0),$H64&lt;TIME(1,0,0)),ops_2200_0100,IF(AND($H64&gt;=TIME(1,0,0),$H64&lt;TIME(6,0,0)),ops_0100_0600,0)))))+IF($G64="Lễ",ops_phu_troi_le,0),0))</f>
        <v>0</v>
      </c>
      <c r="X64" s="16">
        <f t="shared" si="3"/>
        <v>0</v>
      </c>
      <c r="Y64" s="6" t="str">
        <f>IF(OR($F64&lt;&gt;"OPS",$K64=""),"",IF($K64&lt;=ops_kg_1nguoi,1,ops_nguoi_toi_da))</f>
        <v/>
      </c>
      <c r="Z64" s="15" t="str">
        <f t="shared" si="4"/>
        <v/>
      </c>
      <c r="AA64" s="5"/>
    </row>
    <row r="65" spans="2:27">
      <c r="B65" s="6" t="str">
        <f>IF($D65="","",60)</f>
        <v/>
      </c>
      <c r="C65" s="19"/>
      <c r="D65" s="20"/>
      <c r="E65" s="15" t="str">
        <f>IFERROR(VLOOKUP(D65,Assumption!$B$69:$C$80,2,0),"")</f>
        <v/>
      </c>
      <c r="F65" s="20"/>
      <c r="G65" s="20"/>
      <c r="H65" s="21"/>
      <c r="I65" s="21"/>
      <c r="J65" s="5"/>
      <c r="K65" s="22"/>
      <c r="L65" s="22"/>
      <c r="M65" s="20"/>
      <c r="N65" s="23" t="str">
        <f>IF(OR($F65&lt;&gt;"TRUC_DEM",$H65=""),"",(HOUR($H65)+MINUTE($H65)/60)+IF((HOUR($H65)+MINUTE($H65)/60)&lt;moc_chia_ngay,24,0))</f>
        <v/>
      </c>
      <c r="O65" s="23" t="str">
        <f>IF(OR($F65&lt;&gt;"TRUC_DEM",$I65=""),"",(HOUR($I65)+MINUTE($I65)/60)+IF((HOUR($I65)+MINUTE($I65)/60)&lt;moc_chia_ngay,24,0))</f>
        <v/>
      </c>
      <c r="P65" s="17" t="str">
        <f>IF($N65="","",MAX(0,MIN($O65,moc_loi_tu)-MAX($N65,moc_dem_tu))+MAX(0,MIN($O65,moc_dem_den)-MAX($N65,moc_loi_den)))</f>
        <v/>
      </c>
      <c r="Q65" s="17" t="str">
        <f>IF($N65="","",MAX(0,MIN($O65,moc_loi_den)-MAX($N65,moc_loi_tu)))</f>
        <v/>
      </c>
      <c r="R65" s="17" t="str">
        <f t="shared" si="0"/>
        <v/>
      </c>
      <c r="S65" s="4" t="str">
        <f t="shared" si="1"/>
        <v/>
      </c>
      <c r="T65" s="6">
        <f>IF($N65="",0,($P65*rate_gio_bien+$Q65*rate_gio_loi)*IF($G65="Lễ",he_so_le,1))</f>
        <v>0</v>
      </c>
      <c r="U65" s="6">
        <f>IF($N65="",0,IF($S65="Blaze",bca_blaze,IF($S65="Spark",bca_spark,0))*IF($G65="Lễ",he_so_le,1))</f>
        <v>0</v>
      </c>
      <c r="V65" s="24">
        <f t="shared" si="2"/>
        <v>0</v>
      </c>
      <c r="W65" s="24">
        <f>IF(OR($F65&lt;&gt;"OPS",$H65=""),0,ROUND(IF(AND($H65&gt;=TIME(6,0,0),$H65&lt;TIME(8,0,0)),ops_0600_0800,IF(AND($H65&gt;=TIME(8,0,0),$H65&lt;TIME(18,0,0)),ops_0800_1800,IF(AND($H65&gt;=TIME(18,0,0),$H65&lt;TIME(22,0,0)),ops_1800_2200,IF(OR($H65&gt;=TIME(22,0,0),$H65&lt;TIME(1,0,0)),ops_2200_0100,IF(AND($H65&gt;=TIME(1,0,0),$H65&lt;TIME(6,0,0)),ops_0100_0600,0)))))+IF($G65="Lễ",ops_phu_troi_le,0),0))</f>
        <v>0</v>
      </c>
      <c r="X65" s="16">
        <f t="shared" si="3"/>
        <v>0</v>
      </c>
      <c r="Y65" s="6" t="str">
        <f>IF(OR($F65&lt;&gt;"OPS",$K65=""),"",IF($K65&lt;=ops_kg_1nguoi,1,ops_nguoi_toi_da))</f>
        <v/>
      </c>
      <c r="Z65" s="15" t="str">
        <f t="shared" si="4"/>
        <v/>
      </c>
      <c r="AA65" s="5"/>
    </row>
    <row r="66" spans="2:27">
      <c r="B66" s="6" t="str">
        <f>IF($D66="","",61)</f>
        <v/>
      </c>
      <c r="C66" s="19"/>
      <c r="D66" s="20"/>
      <c r="E66" s="15" t="str">
        <f>IFERROR(VLOOKUP(D66,Assumption!$B$69:$C$80,2,0),"")</f>
        <v/>
      </c>
      <c r="F66" s="20"/>
      <c r="G66" s="20"/>
      <c r="H66" s="21"/>
      <c r="I66" s="21"/>
      <c r="J66" s="5"/>
      <c r="K66" s="22"/>
      <c r="L66" s="22"/>
      <c r="M66" s="20"/>
      <c r="N66" s="23" t="str">
        <f>IF(OR($F66&lt;&gt;"TRUC_DEM",$H66=""),"",(HOUR($H66)+MINUTE($H66)/60)+IF((HOUR($H66)+MINUTE($H66)/60)&lt;moc_chia_ngay,24,0))</f>
        <v/>
      </c>
      <c r="O66" s="23" t="str">
        <f>IF(OR($F66&lt;&gt;"TRUC_DEM",$I66=""),"",(HOUR($I66)+MINUTE($I66)/60)+IF((HOUR($I66)+MINUTE($I66)/60)&lt;moc_chia_ngay,24,0))</f>
        <v/>
      </c>
      <c r="P66" s="17" t="str">
        <f>IF($N66="","",MAX(0,MIN($O66,moc_loi_tu)-MAX($N66,moc_dem_tu))+MAX(0,MIN($O66,moc_dem_den)-MAX($N66,moc_loi_den)))</f>
        <v/>
      </c>
      <c r="Q66" s="17" t="str">
        <f>IF($N66="","",MAX(0,MIN($O66,moc_loi_den)-MAX($N66,moc_loi_tu)))</f>
        <v/>
      </c>
      <c r="R66" s="17" t="str">
        <f t="shared" si="0"/>
        <v/>
      </c>
      <c r="S66" s="4" t="str">
        <f t="shared" si="1"/>
        <v/>
      </c>
      <c r="T66" s="6">
        <f>IF($N66="",0,($P66*rate_gio_bien+$Q66*rate_gio_loi)*IF($G66="Lễ",he_so_le,1))</f>
        <v>0</v>
      </c>
      <c r="U66" s="6">
        <f>IF($N66="",0,IF($S66="Blaze",bca_blaze,IF($S66="Spark",bca_spark,0))*IF($G66="Lễ",he_so_le,1))</f>
        <v>0</v>
      </c>
      <c r="V66" s="24">
        <f t="shared" si="2"/>
        <v>0</v>
      </c>
      <c r="W66" s="24">
        <f>IF(OR($F66&lt;&gt;"OPS",$H66=""),0,ROUND(IF(AND($H66&gt;=TIME(6,0,0),$H66&lt;TIME(8,0,0)),ops_0600_0800,IF(AND($H66&gt;=TIME(8,0,0),$H66&lt;TIME(18,0,0)),ops_0800_1800,IF(AND($H66&gt;=TIME(18,0,0),$H66&lt;TIME(22,0,0)),ops_1800_2200,IF(OR($H66&gt;=TIME(22,0,0),$H66&lt;TIME(1,0,0)),ops_2200_0100,IF(AND($H66&gt;=TIME(1,0,0),$H66&lt;TIME(6,0,0)),ops_0100_0600,0)))))+IF($G66="Lễ",ops_phu_troi_le,0),0))</f>
        <v>0</v>
      </c>
      <c r="X66" s="16">
        <f t="shared" si="3"/>
        <v>0</v>
      </c>
      <c r="Y66" s="6" t="str">
        <f>IF(OR($F66&lt;&gt;"OPS",$K66=""),"",IF($K66&lt;=ops_kg_1nguoi,1,ops_nguoi_toi_da))</f>
        <v/>
      </c>
      <c r="Z66" s="15" t="str">
        <f t="shared" si="4"/>
        <v/>
      </c>
      <c r="AA66" s="5"/>
    </row>
    <row r="67" spans="2:27">
      <c r="B67" s="6" t="str">
        <f>IF($D67="","",62)</f>
        <v/>
      </c>
      <c r="C67" s="19"/>
      <c r="D67" s="20"/>
      <c r="E67" s="15" t="str">
        <f>IFERROR(VLOOKUP(D67,Assumption!$B$69:$C$80,2,0),"")</f>
        <v/>
      </c>
      <c r="F67" s="20"/>
      <c r="G67" s="20"/>
      <c r="H67" s="21"/>
      <c r="I67" s="21"/>
      <c r="J67" s="5"/>
      <c r="K67" s="22"/>
      <c r="L67" s="22"/>
      <c r="M67" s="20"/>
      <c r="N67" s="23" t="str">
        <f>IF(OR($F67&lt;&gt;"TRUC_DEM",$H67=""),"",(HOUR($H67)+MINUTE($H67)/60)+IF((HOUR($H67)+MINUTE($H67)/60)&lt;moc_chia_ngay,24,0))</f>
        <v/>
      </c>
      <c r="O67" s="23" t="str">
        <f>IF(OR($F67&lt;&gt;"TRUC_DEM",$I67=""),"",(HOUR($I67)+MINUTE($I67)/60)+IF((HOUR($I67)+MINUTE($I67)/60)&lt;moc_chia_ngay,24,0))</f>
        <v/>
      </c>
      <c r="P67" s="17" t="str">
        <f>IF($N67="","",MAX(0,MIN($O67,moc_loi_tu)-MAX($N67,moc_dem_tu))+MAX(0,MIN($O67,moc_dem_den)-MAX($N67,moc_loi_den)))</f>
        <v/>
      </c>
      <c r="Q67" s="17" t="str">
        <f>IF($N67="","",MAX(0,MIN($O67,moc_loi_den)-MAX($N67,moc_loi_tu)))</f>
        <v/>
      </c>
      <c r="R67" s="17" t="str">
        <f t="shared" si="0"/>
        <v/>
      </c>
      <c r="S67" s="4" t="str">
        <f t="shared" si="1"/>
        <v/>
      </c>
      <c r="T67" s="6">
        <f>IF($N67="",0,($P67*rate_gio_bien+$Q67*rate_gio_loi)*IF($G67="Lễ",he_so_le,1))</f>
        <v>0</v>
      </c>
      <c r="U67" s="6">
        <f>IF($N67="",0,IF($S67="Blaze",bca_blaze,IF($S67="Spark",bca_spark,0))*IF($G67="Lễ",he_so_le,1))</f>
        <v>0</v>
      </c>
      <c r="V67" s="24">
        <f t="shared" si="2"/>
        <v>0</v>
      </c>
      <c r="W67" s="24">
        <f>IF(OR($F67&lt;&gt;"OPS",$H67=""),0,ROUND(IF(AND($H67&gt;=TIME(6,0,0),$H67&lt;TIME(8,0,0)),ops_0600_0800,IF(AND($H67&gt;=TIME(8,0,0),$H67&lt;TIME(18,0,0)),ops_0800_1800,IF(AND($H67&gt;=TIME(18,0,0),$H67&lt;TIME(22,0,0)),ops_1800_2200,IF(OR($H67&gt;=TIME(22,0,0),$H67&lt;TIME(1,0,0)),ops_2200_0100,IF(AND($H67&gt;=TIME(1,0,0),$H67&lt;TIME(6,0,0)),ops_0100_0600,0)))))+IF($G67="Lễ",ops_phu_troi_le,0),0))</f>
        <v>0</v>
      </c>
      <c r="X67" s="16">
        <f t="shared" si="3"/>
        <v>0</v>
      </c>
      <c r="Y67" s="6" t="str">
        <f>IF(OR($F67&lt;&gt;"OPS",$K67=""),"",IF($K67&lt;=ops_kg_1nguoi,1,ops_nguoi_toi_da))</f>
        <v/>
      </c>
      <c r="Z67" s="15" t="str">
        <f t="shared" si="4"/>
        <v/>
      </c>
      <c r="AA67" s="5"/>
    </row>
    <row r="68" spans="2:27">
      <c r="B68" s="6" t="str">
        <f>IF($D68="","",63)</f>
        <v/>
      </c>
      <c r="C68" s="19"/>
      <c r="D68" s="20"/>
      <c r="E68" s="15" t="str">
        <f>IFERROR(VLOOKUP(D68,Assumption!$B$69:$C$80,2,0),"")</f>
        <v/>
      </c>
      <c r="F68" s="20"/>
      <c r="G68" s="20"/>
      <c r="H68" s="21"/>
      <c r="I68" s="21"/>
      <c r="J68" s="5"/>
      <c r="K68" s="22"/>
      <c r="L68" s="22"/>
      <c r="M68" s="20"/>
      <c r="N68" s="23" t="str">
        <f>IF(OR($F68&lt;&gt;"TRUC_DEM",$H68=""),"",(HOUR($H68)+MINUTE($H68)/60)+IF((HOUR($H68)+MINUTE($H68)/60)&lt;moc_chia_ngay,24,0))</f>
        <v/>
      </c>
      <c r="O68" s="23" t="str">
        <f>IF(OR($F68&lt;&gt;"TRUC_DEM",$I68=""),"",(HOUR($I68)+MINUTE($I68)/60)+IF((HOUR($I68)+MINUTE($I68)/60)&lt;moc_chia_ngay,24,0))</f>
        <v/>
      </c>
      <c r="P68" s="17" t="str">
        <f>IF($N68="","",MAX(0,MIN($O68,moc_loi_tu)-MAX($N68,moc_dem_tu))+MAX(0,MIN($O68,moc_dem_den)-MAX($N68,moc_loi_den)))</f>
        <v/>
      </c>
      <c r="Q68" s="17" t="str">
        <f>IF($N68="","",MAX(0,MIN($O68,moc_loi_den)-MAX($N68,moc_loi_tu)))</f>
        <v/>
      </c>
      <c r="R68" s="17" t="str">
        <f t="shared" si="0"/>
        <v/>
      </c>
      <c r="S68" s="4" t="str">
        <f t="shared" si="1"/>
        <v/>
      </c>
      <c r="T68" s="6">
        <f>IF($N68="",0,($P68*rate_gio_bien+$Q68*rate_gio_loi)*IF($G68="Lễ",he_so_le,1))</f>
        <v>0</v>
      </c>
      <c r="U68" s="6">
        <f>IF($N68="",0,IF($S68="Blaze",bca_blaze,IF($S68="Spark",bca_spark,0))*IF($G68="Lễ",he_so_le,1))</f>
        <v>0</v>
      </c>
      <c r="V68" s="24">
        <f t="shared" si="2"/>
        <v>0</v>
      </c>
      <c r="W68" s="24">
        <f>IF(OR($F68&lt;&gt;"OPS",$H68=""),0,ROUND(IF(AND($H68&gt;=TIME(6,0,0),$H68&lt;TIME(8,0,0)),ops_0600_0800,IF(AND($H68&gt;=TIME(8,0,0),$H68&lt;TIME(18,0,0)),ops_0800_1800,IF(AND($H68&gt;=TIME(18,0,0),$H68&lt;TIME(22,0,0)),ops_1800_2200,IF(OR($H68&gt;=TIME(22,0,0),$H68&lt;TIME(1,0,0)),ops_2200_0100,IF(AND($H68&gt;=TIME(1,0,0),$H68&lt;TIME(6,0,0)),ops_0100_0600,0)))))+IF($G68="Lễ",ops_phu_troi_le,0),0))</f>
        <v>0</v>
      </c>
      <c r="X68" s="16">
        <f t="shared" si="3"/>
        <v>0</v>
      </c>
      <c r="Y68" s="6" t="str">
        <f>IF(OR($F68&lt;&gt;"OPS",$K68=""),"",IF($K68&lt;=ops_kg_1nguoi,1,ops_nguoi_toi_da))</f>
        <v/>
      </c>
      <c r="Z68" s="15" t="str">
        <f t="shared" si="4"/>
        <v/>
      </c>
      <c r="AA68" s="5"/>
    </row>
    <row r="69" spans="2:27">
      <c r="B69" s="6" t="str">
        <f>IF($D69="","",64)</f>
        <v/>
      </c>
      <c r="C69" s="19"/>
      <c r="D69" s="20"/>
      <c r="E69" s="15" t="str">
        <f>IFERROR(VLOOKUP(D69,Assumption!$B$69:$C$80,2,0),"")</f>
        <v/>
      </c>
      <c r="F69" s="20"/>
      <c r="G69" s="20"/>
      <c r="H69" s="21"/>
      <c r="I69" s="21"/>
      <c r="J69" s="5"/>
      <c r="K69" s="22"/>
      <c r="L69" s="22"/>
      <c r="M69" s="20"/>
      <c r="N69" s="23" t="str">
        <f>IF(OR($F69&lt;&gt;"TRUC_DEM",$H69=""),"",(HOUR($H69)+MINUTE($H69)/60)+IF((HOUR($H69)+MINUTE($H69)/60)&lt;moc_chia_ngay,24,0))</f>
        <v/>
      </c>
      <c r="O69" s="23" t="str">
        <f>IF(OR($F69&lt;&gt;"TRUC_DEM",$I69=""),"",(HOUR($I69)+MINUTE($I69)/60)+IF((HOUR($I69)+MINUTE($I69)/60)&lt;moc_chia_ngay,24,0))</f>
        <v/>
      </c>
      <c r="P69" s="17" t="str">
        <f>IF($N69="","",MAX(0,MIN($O69,moc_loi_tu)-MAX($N69,moc_dem_tu))+MAX(0,MIN($O69,moc_dem_den)-MAX($N69,moc_loi_den)))</f>
        <v/>
      </c>
      <c r="Q69" s="17" t="str">
        <f>IF($N69="","",MAX(0,MIN($O69,moc_loi_den)-MAX($N69,moc_loi_tu)))</f>
        <v/>
      </c>
      <c r="R69" s="17" t="str">
        <f t="shared" si="0"/>
        <v/>
      </c>
      <c r="S69" s="4" t="str">
        <f t="shared" si="1"/>
        <v/>
      </c>
      <c r="T69" s="6">
        <f>IF($N69="",0,($P69*rate_gio_bien+$Q69*rate_gio_loi)*IF($G69="Lễ",he_so_le,1))</f>
        <v>0</v>
      </c>
      <c r="U69" s="6">
        <f>IF($N69="",0,IF($S69="Blaze",bca_blaze,IF($S69="Spark",bca_spark,0))*IF($G69="Lễ",he_so_le,1))</f>
        <v>0</v>
      </c>
      <c r="V69" s="24">
        <f t="shared" si="2"/>
        <v>0</v>
      </c>
      <c r="W69" s="24">
        <f>IF(OR($F69&lt;&gt;"OPS",$H69=""),0,ROUND(IF(AND($H69&gt;=TIME(6,0,0),$H69&lt;TIME(8,0,0)),ops_0600_0800,IF(AND($H69&gt;=TIME(8,0,0),$H69&lt;TIME(18,0,0)),ops_0800_1800,IF(AND($H69&gt;=TIME(18,0,0),$H69&lt;TIME(22,0,0)),ops_1800_2200,IF(OR($H69&gt;=TIME(22,0,0),$H69&lt;TIME(1,0,0)),ops_2200_0100,IF(AND($H69&gt;=TIME(1,0,0),$H69&lt;TIME(6,0,0)),ops_0100_0600,0)))))+IF($G69="Lễ",ops_phu_troi_le,0),0))</f>
        <v>0</v>
      </c>
      <c r="X69" s="16">
        <f t="shared" si="3"/>
        <v>0</v>
      </c>
      <c r="Y69" s="6" t="str">
        <f>IF(OR($F69&lt;&gt;"OPS",$K69=""),"",IF($K69&lt;=ops_kg_1nguoi,1,ops_nguoi_toi_da))</f>
        <v/>
      </c>
      <c r="Z69" s="15" t="str">
        <f t="shared" si="4"/>
        <v/>
      </c>
      <c r="AA69" s="5"/>
    </row>
    <row r="70" spans="2:27">
      <c r="B70" s="6" t="str">
        <f>IF($D70="","",65)</f>
        <v/>
      </c>
      <c r="C70" s="19"/>
      <c r="D70" s="20"/>
      <c r="E70" s="15" t="str">
        <f>IFERROR(VLOOKUP(D70,Assumption!$B$69:$C$80,2,0),"")</f>
        <v/>
      </c>
      <c r="F70" s="20"/>
      <c r="G70" s="20"/>
      <c r="H70" s="21"/>
      <c r="I70" s="21"/>
      <c r="J70" s="5"/>
      <c r="K70" s="22"/>
      <c r="L70" s="22"/>
      <c r="M70" s="20"/>
      <c r="N70" s="23" t="str">
        <f>IF(OR($F70&lt;&gt;"TRUC_DEM",$H70=""),"",(HOUR($H70)+MINUTE($H70)/60)+IF((HOUR($H70)+MINUTE($H70)/60)&lt;moc_chia_ngay,24,0))</f>
        <v/>
      </c>
      <c r="O70" s="23" t="str">
        <f>IF(OR($F70&lt;&gt;"TRUC_DEM",$I70=""),"",(HOUR($I70)+MINUTE($I70)/60)+IF((HOUR($I70)+MINUTE($I70)/60)&lt;moc_chia_ngay,24,0))</f>
        <v/>
      </c>
      <c r="P70" s="17" t="str">
        <f>IF($N70="","",MAX(0,MIN($O70,moc_loi_tu)-MAX($N70,moc_dem_tu))+MAX(0,MIN($O70,moc_dem_den)-MAX($N70,moc_loi_den)))</f>
        <v/>
      </c>
      <c r="Q70" s="17" t="str">
        <f>IF($N70="","",MAX(0,MIN($O70,moc_loi_den)-MAX($N70,moc_loi_tu)))</f>
        <v/>
      </c>
      <c r="R70" s="17" t="str">
        <f t="shared" ref="R70:R125" si="5">IF($N70="","",$P70+$Q70)</f>
        <v/>
      </c>
      <c r="S70" s="4" t="str">
        <f t="shared" ref="S70:S125" si="6">IF($N70="","",IF($Q70&gt;0,"Blaze",IF($P70&gt;0,"Spark","")))</f>
        <v/>
      </c>
      <c r="T70" s="6">
        <f>IF($N70="",0,($P70*rate_gio_bien+$Q70*rate_gio_loi)*IF($G70="Lễ",he_so_le,1))</f>
        <v>0</v>
      </c>
      <c r="U70" s="6">
        <f>IF($N70="",0,IF($S70="Blaze",bca_blaze,IF($S70="Spark",bca_spark,0))*IF($G70="Lễ",he_so_le,1))</f>
        <v>0</v>
      </c>
      <c r="V70" s="24">
        <f t="shared" ref="V70:V125" si="7">ROUND($T70+$U70,0)</f>
        <v>0</v>
      </c>
      <c r="W70" s="24">
        <f>IF(OR($F70&lt;&gt;"OPS",$H70=""),0,ROUND(IF(AND($H70&gt;=TIME(6,0,0),$H70&lt;TIME(8,0,0)),ops_0600_0800,IF(AND($H70&gt;=TIME(8,0,0),$H70&lt;TIME(18,0,0)),ops_0800_1800,IF(AND($H70&gt;=TIME(18,0,0),$H70&lt;TIME(22,0,0)),ops_1800_2200,IF(OR($H70&gt;=TIME(22,0,0),$H70&lt;TIME(1,0,0)),ops_2200_0100,IF(AND($H70&gt;=TIME(1,0,0),$H70&lt;TIME(6,0,0)),ops_0100_0600,0)))))+IF($G70="Lễ",ops_phu_troi_le,0),0))</f>
        <v>0</v>
      </c>
      <c r="X70" s="16">
        <f t="shared" ref="X70:X125" si="8">$V70+$W70</f>
        <v>0</v>
      </c>
      <c r="Y70" s="6" t="str">
        <f>IF(OR($F70&lt;&gt;"OPS",$K70=""),"",IF($K70&lt;=ops_kg_1nguoi,1,ops_nguoi_toi_da))</f>
        <v/>
      </c>
      <c r="Z70" s="15" t="str">
        <f t="shared" ref="Z70:Z125" si="9">IF($D70="","",IF(AND($F70="TRUC_DEM",$R70=0),"Ca ngoài khung 22:00–06:00",IF(AND($F70="OPS",$L70&lt;&gt;"",$Y70&lt;&gt;"",$L70&lt;$Y70),"Thiếu người so với định biên","")))</f>
        <v/>
      </c>
      <c r="AA70" s="5"/>
    </row>
    <row r="71" spans="2:27">
      <c r="B71" s="6" t="str">
        <f>IF($D71="","",66)</f>
        <v/>
      </c>
      <c r="C71" s="19"/>
      <c r="D71" s="20"/>
      <c r="E71" s="15" t="str">
        <f>IFERROR(VLOOKUP(D71,Assumption!$B$69:$C$80,2,0),"")</f>
        <v/>
      </c>
      <c r="F71" s="20"/>
      <c r="G71" s="20"/>
      <c r="H71" s="21"/>
      <c r="I71" s="21"/>
      <c r="J71" s="5"/>
      <c r="K71" s="22"/>
      <c r="L71" s="22"/>
      <c r="M71" s="20"/>
      <c r="N71" s="23" t="str">
        <f>IF(OR($F71&lt;&gt;"TRUC_DEM",$H71=""),"",(HOUR($H71)+MINUTE($H71)/60)+IF((HOUR($H71)+MINUTE($H71)/60)&lt;moc_chia_ngay,24,0))</f>
        <v/>
      </c>
      <c r="O71" s="23" t="str">
        <f>IF(OR($F71&lt;&gt;"TRUC_DEM",$I71=""),"",(HOUR($I71)+MINUTE($I71)/60)+IF((HOUR($I71)+MINUTE($I71)/60)&lt;moc_chia_ngay,24,0))</f>
        <v/>
      </c>
      <c r="P71" s="17" t="str">
        <f>IF($N71="","",MAX(0,MIN($O71,moc_loi_tu)-MAX($N71,moc_dem_tu))+MAX(0,MIN($O71,moc_dem_den)-MAX($N71,moc_loi_den)))</f>
        <v/>
      </c>
      <c r="Q71" s="17" t="str">
        <f>IF($N71="","",MAX(0,MIN($O71,moc_loi_den)-MAX($N71,moc_loi_tu)))</f>
        <v/>
      </c>
      <c r="R71" s="17" t="str">
        <f t="shared" si="5"/>
        <v/>
      </c>
      <c r="S71" s="4" t="str">
        <f t="shared" si="6"/>
        <v/>
      </c>
      <c r="T71" s="6">
        <f>IF($N71="",0,($P71*rate_gio_bien+$Q71*rate_gio_loi)*IF($G71="Lễ",he_so_le,1))</f>
        <v>0</v>
      </c>
      <c r="U71" s="6">
        <f>IF($N71="",0,IF($S71="Blaze",bca_blaze,IF($S71="Spark",bca_spark,0))*IF($G71="Lễ",he_so_le,1))</f>
        <v>0</v>
      </c>
      <c r="V71" s="24">
        <f t="shared" si="7"/>
        <v>0</v>
      </c>
      <c r="W71" s="24">
        <f>IF(OR($F71&lt;&gt;"OPS",$H71=""),0,ROUND(IF(AND($H71&gt;=TIME(6,0,0),$H71&lt;TIME(8,0,0)),ops_0600_0800,IF(AND($H71&gt;=TIME(8,0,0),$H71&lt;TIME(18,0,0)),ops_0800_1800,IF(AND($H71&gt;=TIME(18,0,0),$H71&lt;TIME(22,0,0)),ops_1800_2200,IF(OR($H71&gt;=TIME(22,0,0),$H71&lt;TIME(1,0,0)),ops_2200_0100,IF(AND($H71&gt;=TIME(1,0,0),$H71&lt;TIME(6,0,0)),ops_0100_0600,0)))))+IF($G71="Lễ",ops_phu_troi_le,0),0))</f>
        <v>0</v>
      </c>
      <c r="X71" s="16">
        <f t="shared" si="8"/>
        <v>0</v>
      </c>
      <c r="Y71" s="6" t="str">
        <f>IF(OR($F71&lt;&gt;"OPS",$K71=""),"",IF($K71&lt;=ops_kg_1nguoi,1,ops_nguoi_toi_da))</f>
        <v/>
      </c>
      <c r="Z71" s="15" t="str">
        <f t="shared" si="9"/>
        <v/>
      </c>
      <c r="AA71" s="5"/>
    </row>
    <row r="72" spans="2:27">
      <c r="B72" s="6" t="str">
        <f>IF($D72="","",67)</f>
        <v/>
      </c>
      <c r="C72" s="19"/>
      <c r="D72" s="20"/>
      <c r="E72" s="15" t="str">
        <f>IFERROR(VLOOKUP(D72,Assumption!$B$69:$C$80,2,0),"")</f>
        <v/>
      </c>
      <c r="F72" s="20"/>
      <c r="G72" s="20"/>
      <c r="H72" s="21"/>
      <c r="I72" s="21"/>
      <c r="J72" s="5"/>
      <c r="K72" s="22"/>
      <c r="L72" s="22"/>
      <c r="M72" s="20"/>
      <c r="N72" s="23" t="str">
        <f>IF(OR($F72&lt;&gt;"TRUC_DEM",$H72=""),"",(HOUR($H72)+MINUTE($H72)/60)+IF((HOUR($H72)+MINUTE($H72)/60)&lt;moc_chia_ngay,24,0))</f>
        <v/>
      </c>
      <c r="O72" s="23" t="str">
        <f>IF(OR($F72&lt;&gt;"TRUC_DEM",$I72=""),"",(HOUR($I72)+MINUTE($I72)/60)+IF((HOUR($I72)+MINUTE($I72)/60)&lt;moc_chia_ngay,24,0))</f>
        <v/>
      </c>
      <c r="P72" s="17" t="str">
        <f>IF($N72="","",MAX(0,MIN($O72,moc_loi_tu)-MAX($N72,moc_dem_tu))+MAX(0,MIN($O72,moc_dem_den)-MAX($N72,moc_loi_den)))</f>
        <v/>
      </c>
      <c r="Q72" s="17" t="str">
        <f>IF($N72="","",MAX(0,MIN($O72,moc_loi_den)-MAX($N72,moc_loi_tu)))</f>
        <v/>
      </c>
      <c r="R72" s="17" t="str">
        <f t="shared" si="5"/>
        <v/>
      </c>
      <c r="S72" s="4" t="str">
        <f t="shared" si="6"/>
        <v/>
      </c>
      <c r="T72" s="6">
        <f>IF($N72="",0,($P72*rate_gio_bien+$Q72*rate_gio_loi)*IF($G72="Lễ",he_so_le,1))</f>
        <v>0</v>
      </c>
      <c r="U72" s="6">
        <f>IF($N72="",0,IF($S72="Blaze",bca_blaze,IF($S72="Spark",bca_spark,0))*IF($G72="Lễ",he_so_le,1))</f>
        <v>0</v>
      </c>
      <c r="V72" s="24">
        <f t="shared" si="7"/>
        <v>0</v>
      </c>
      <c r="W72" s="24">
        <f>IF(OR($F72&lt;&gt;"OPS",$H72=""),0,ROUND(IF(AND($H72&gt;=TIME(6,0,0),$H72&lt;TIME(8,0,0)),ops_0600_0800,IF(AND($H72&gt;=TIME(8,0,0),$H72&lt;TIME(18,0,0)),ops_0800_1800,IF(AND($H72&gt;=TIME(18,0,0),$H72&lt;TIME(22,0,0)),ops_1800_2200,IF(OR($H72&gt;=TIME(22,0,0),$H72&lt;TIME(1,0,0)),ops_2200_0100,IF(AND($H72&gt;=TIME(1,0,0),$H72&lt;TIME(6,0,0)),ops_0100_0600,0)))))+IF($G72="Lễ",ops_phu_troi_le,0),0))</f>
        <v>0</v>
      </c>
      <c r="X72" s="16">
        <f t="shared" si="8"/>
        <v>0</v>
      </c>
      <c r="Y72" s="6" t="str">
        <f>IF(OR($F72&lt;&gt;"OPS",$K72=""),"",IF($K72&lt;=ops_kg_1nguoi,1,ops_nguoi_toi_da))</f>
        <v/>
      </c>
      <c r="Z72" s="15" t="str">
        <f t="shared" si="9"/>
        <v/>
      </c>
      <c r="AA72" s="5"/>
    </row>
    <row r="73" spans="2:27">
      <c r="B73" s="6" t="str">
        <f>IF($D73="","",68)</f>
        <v/>
      </c>
      <c r="C73" s="19"/>
      <c r="D73" s="20"/>
      <c r="E73" s="15" t="str">
        <f>IFERROR(VLOOKUP(D73,Assumption!$B$69:$C$80,2,0),"")</f>
        <v/>
      </c>
      <c r="F73" s="20"/>
      <c r="G73" s="20"/>
      <c r="H73" s="21"/>
      <c r="I73" s="21"/>
      <c r="J73" s="5"/>
      <c r="K73" s="22"/>
      <c r="L73" s="22"/>
      <c r="M73" s="20"/>
      <c r="N73" s="23" t="str">
        <f>IF(OR($F73&lt;&gt;"TRUC_DEM",$H73=""),"",(HOUR($H73)+MINUTE($H73)/60)+IF((HOUR($H73)+MINUTE($H73)/60)&lt;moc_chia_ngay,24,0))</f>
        <v/>
      </c>
      <c r="O73" s="23" t="str">
        <f>IF(OR($F73&lt;&gt;"TRUC_DEM",$I73=""),"",(HOUR($I73)+MINUTE($I73)/60)+IF((HOUR($I73)+MINUTE($I73)/60)&lt;moc_chia_ngay,24,0))</f>
        <v/>
      </c>
      <c r="P73" s="17" t="str">
        <f>IF($N73="","",MAX(0,MIN($O73,moc_loi_tu)-MAX($N73,moc_dem_tu))+MAX(0,MIN($O73,moc_dem_den)-MAX($N73,moc_loi_den)))</f>
        <v/>
      </c>
      <c r="Q73" s="17" t="str">
        <f>IF($N73="","",MAX(0,MIN($O73,moc_loi_den)-MAX($N73,moc_loi_tu)))</f>
        <v/>
      </c>
      <c r="R73" s="17" t="str">
        <f t="shared" si="5"/>
        <v/>
      </c>
      <c r="S73" s="4" t="str">
        <f t="shared" si="6"/>
        <v/>
      </c>
      <c r="T73" s="6">
        <f>IF($N73="",0,($P73*rate_gio_bien+$Q73*rate_gio_loi)*IF($G73="Lễ",he_so_le,1))</f>
        <v>0</v>
      </c>
      <c r="U73" s="6">
        <f>IF($N73="",0,IF($S73="Blaze",bca_blaze,IF($S73="Spark",bca_spark,0))*IF($G73="Lễ",he_so_le,1))</f>
        <v>0</v>
      </c>
      <c r="V73" s="24">
        <f t="shared" si="7"/>
        <v>0</v>
      </c>
      <c r="W73" s="24">
        <f>IF(OR($F73&lt;&gt;"OPS",$H73=""),0,ROUND(IF(AND($H73&gt;=TIME(6,0,0),$H73&lt;TIME(8,0,0)),ops_0600_0800,IF(AND($H73&gt;=TIME(8,0,0),$H73&lt;TIME(18,0,0)),ops_0800_1800,IF(AND($H73&gt;=TIME(18,0,0),$H73&lt;TIME(22,0,0)),ops_1800_2200,IF(OR($H73&gt;=TIME(22,0,0),$H73&lt;TIME(1,0,0)),ops_2200_0100,IF(AND($H73&gt;=TIME(1,0,0),$H73&lt;TIME(6,0,0)),ops_0100_0600,0)))))+IF($G73="Lễ",ops_phu_troi_le,0),0))</f>
        <v>0</v>
      </c>
      <c r="X73" s="16">
        <f t="shared" si="8"/>
        <v>0</v>
      </c>
      <c r="Y73" s="6" t="str">
        <f>IF(OR($F73&lt;&gt;"OPS",$K73=""),"",IF($K73&lt;=ops_kg_1nguoi,1,ops_nguoi_toi_da))</f>
        <v/>
      </c>
      <c r="Z73" s="15" t="str">
        <f t="shared" si="9"/>
        <v/>
      </c>
      <c r="AA73" s="5"/>
    </row>
    <row r="74" spans="2:27">
      <c r="B74" s="6" t="str">
        <f>IF($D74="","",69)</f>
        <v/>
      </c>
      <c r="C74" s="19"/>
      <c r="D74" s="20"/>
      <c r="E74" s="15" t="str">
        <f>IFERROR(VLOOKUP(D74,Assumption!$B$69:$C$80,2,0),"")</f>
        <v/>
      </c>
      <c r="F74" s="20"/>
      <c r="G74" s="20"/>
      <c r="H74" s="21"/>
      <c r="I74" s="21"/>
      <c r="J74" s="5"/>
      <c r="K74" s="22"/>
      <c r="L74" s="22"/>
      <c r="M74" s="20"/>
      <c r="N74" s="23" t="str">
        <f>IF(OR($F74&lt;&gt;"TRUC_DEM",$H74=""),"",(HOUR($H74)+MINUTE($H74)/60)+IF((HOUR($H74)+MINUTE($H74)/60)&lt;moc_chia_ngay,24,0))</f>
        <v/>
      </c>
      <c r="O74" s="23" t="str">
        <f>IF(OR($F74&lt;&gt;"TRUC_DEM",$I74=""),"",(HOUR($I74)+MINUTE($I74)/60)+IF((HOUR($I74)+MINUTE($I74)/60)&lt;moc_chia_ngay,24,0))</f>
        <v/>
      </c>
      <c r="P74" s="17" t="str">
        <f>IF($N74="","",MAX(0,MIN($O74,moc_loi_tu)-MAX($N74,moc_dem_tu))+MAX(0,MIN($O74,moc_dem_den)-MAX($N74,moc_loi_den)))</f>
        <v/>
      </c>
      <c r="Q74" s="17" t="str">
        <f>IF($N74="","",MAX(0,MIN($O74,moc_loi_den)-MAX($N74,moc_loi_tu)))</f>
        <v/>
      </c>
      <c r="R74" s="17" t="str">
        <f t="shared" si="5"/>
        <v/>
      </c>
      <c r="S74" s="4" t="str">
        <f t="shared" si="6"/>
        <v/>
      </c>
      <c r="T74" s="6">
        <f>IF($N74="",0,($P74*rate_gio_bien+$Q74*rate_gio_loi)*IF($G74="Lễ",he_so_le,1))</f>
        <v>0</v>
      </c>
      <c r="U74" s="6">
        <f>IF($N74="",0,IF($S74="Blaze",bca_blaze,IF($S74="Spark",bca_spark,0))*IF($G74="Lễ",he_so_le,1))</f>
        <v>0</v>
      </c>
      <c r="V74" s="24">
        <f t="shared" si="7"/>
        <v>0</v>
      </c>
      <c r="W74" s="24">
        <f>IF(OR($F74&lt;&gt;"OPS",$H74=""),0,ROUND(IF(AND($H74&gt;=TIME(6,0,0),$H74&lt;TIME(8,0,0)),ops_0600_0800,IF(AND($H74&gt;=TIME(8,0,0),$H74&lt;TIME(18,0,0)),ops_0800_1800,IF(AND($H74&gt;=TIME(18,0,0),$H74&lt;TIME(22,0,0)),ops_1800_2200,IF(OR($H74&gt;=TIME(22,0,0),$H74&lt;TIME(1,0,0)),ops_2200_0100,IF(AND($H74&gt;=TIME(1,0,0),$H74&lt;TIME(6,0,0)),ops_0100_0600,0)))))+IF($G74="Lễ",ops_phu_troi_le,0),0))</f>
        <v>0</v>
      </c>
      <c r="X74" s="16">
        <f t="shared" si="8"/>
        <v>0</v>
      </c>
      <c r="Y74" s="6" t="str">
        <f>IF(OR($F74&lt;&gt;"OPS",$K74=""),"",IF($K74&lt;=ops_kg_1nguoi,1,ops_nguoi_toi_da))</f>
        <v/>
      </c>
      <c r="Z74" s="15" t="str">
        <f t="shared" si="9"/>
        <v/>
      </c>
      <c r="AA74" s="5"/>
    </row>
    <row r="75" spans="2:27">
      <c r="B75" s="6" t="str">
        <f>IF($D75="","",70)</f>
        <v/>
      </c>
      <c r="C75" s="19"/>
      <c r="D75" s="20"/>
      <c r="E75" s="15" t="str">
        <f>IFERROR(VLOOKUP(D75,Assumption!$B$69:$C$80,2,0),"")</f>
        <v/>
      </c>
      <c r="F75" s="20"/>
      <c r="G75" s="20"/>
      <c r="H75" s="21"/>
      <c r="I75" s="21"/>
      <c r="J75" s="5"/>
      <c r="K75" s="22"/>
      <c r="L75" s="22"/>
      <c r="M75" s="20"/>
      <c r="N75" s="23" t="str">
        <f>IF(OR($F75&lt;&gt;"TRUC_DEM",$H75=""),"",(HOUR($H75)+MINUTE($H75)/60)+IF((HOUR($H75)+MINUTE($H75)/60)&lt;moc_chia_ngay,24,0))</f>
        <v/>
      </c>
      <c r="O75" s="23" t="str">
        <f>IF(OR($F75&lt;&gt;"TRUC_DEM",$I75=""),"",(HOUR($I75)+MINUTE($I75)/60)+IF((HOUR($I75)+MINUTE($I75)/60)&lt;moc_chia_ngay,24,0))</f>
        <v/>
      </c>
      <c r="P75" s="17" t="str">
        <f>IF($N75="","",MAX(0,MIN($O75,moc_loi_tu)-MAX($N75,moc_dem_tu))+MAX(0,MIN($O75,moc_dem_den)-MAX($N75,moc_loi_den)))</f>
        <v/>
      </c>
      <c r="Q75" s="17" t="str">
        <f>IF($N75="","",MAX(0,MIN($O75,moc_loi_den)-MAX($N75,moc_loi_tu)))</f>
        <v/>
      </c>
      <c r="R75" s="17" t="str">
        <f t="shared" si="5"/>
        <v/>
      </c>
      <c r="S75" s="4" t="str">
        <f t="shared" si="6"/>
        <v/>
      </c>
      <c r="T75" s="6">
        <f>IF($N75="",0,($P75*rate_gio_bien+$Q75*rate_gio_loi)*IF($G75="Lễ",he_so_le,1))</f>
        <v>0</v>
      </c>
      <c r="U75" s="6">
        <f>IF($N75="",0,IF($S75="Blaze",bca_blaze,IF($S75="Spark",bca_spark,0))*IF($G75="Lễ",he_so_le,1))</f>
        <v>0</v>
      </c>
      <c r="V75" s="24">
        <f t="shared" si="7"/>
        <v>0</v>
      </c>
      <c r="W75" s="24">
        <f>IF(OR($F75&lt;&gt;"OPS",$H75=""),0,ROUND(IF(AND($H75&gt;=TIME(6,0,0),$H75&lt;TIME(8,0,0)),ops_0600_0800,IF(AND($H75&gt;=TIME(8,0,0),$H75&lt;TIME(18,0,0)),ops_0800_1800,IF(AND($H75&gt;=TIME(18,0,0),$H75&lt;TIME(22,0,0)),ops_1800_2200,IF(OR($H75&gt;=TIME(22,0,0),$H75&lt;TIME(1,0,0)),ops_2200_0100,IF(AND($H75&gt;=TIME(1,0,0),$H75&lt;TIME(6,0,0)),ops_0100_0600,0)))))+IF($G75="Lễ",ops_phu_troi_le,0),0))</f>
        <v>0</v>
      </c>
      <c r="X75" s="16">
        <f t="shared" si="8"/>
        <v>0</v>
      </c>
      <c r="Y75" s="6" t="str">
        <f>IF(OR($F75&lt;&gt;"OPS",$K75=""),"",IF($K75&lt;=ops_kg_1nguoi,1,ops_nguoi_toi_da))</f>
        <v/>
      </c>
      <c r="Z75" s="15" t="str">
        <f t="shared" si="9"/>
        <v/>
      </c>
      <c r="AA75" s="5"/>
    </row>
    <row r="76" spans="2:27">
      <c r="B76" s="6" t="str">
        <f>IF($D76="","",71)</f>
        <v/>
      </c>
      <c r="C76" s="19"/>
      <c r="D76" s="20"/>
      <c r="E76" s="15" t="str">
        <f>IFERROR(VLOOKUP(D76,Assumption!$B$69:$C$80,2,0),"")</f>
        <v/>
      </c>
      <c r="F76" s="20"/>
      <c r="G76" s="20"/>
      <c r="H76" s="21"/>
      <c r="I76" s="21"/>
      <c r="J76" s="5"/>
      <c r="K76" s="22"/>
      <c r="L76" s="22"/>
      <c r="M76" s="20"/>
      <c r="N76" s="23" t="str">
        <f>IF(OR($F76&lt;&gt;"TRUC_DEM",$H76=""),"",(HOUR($H76)+MINUTE($H76)/60)+IF((HOUR($H76)+MINUTE($H76)/60)&lt;moc_chia_ngay,24,0))</f>
        <v/>
      </c>
      <c r="O76" s="23" t="str">
        <f>IF(OR($F76&lt;&gt;"TRUC_DEM",$I76=""),"",(HOUR($I76)+MINUTE($I76)/60)+IF((HOUR($I76)+MINUTE($I76)/60)&lt;moc_chia_ngay,24,0))</f>
        <v/>
      </c>
      <c r="P76" s="17" t="str">
        <f>IF($N76="","",MAX(0,MIN($O76,moc_loi_tu)-MAX($N76,moc_dem_tu))+MAX(0,MIN($O76,moc_dem_den)-MAX($N76,moc_loi_den)))</f>
        <v/>
      </c>
      <c r="Q76" s="17" t="str">
        <f>IF($N76="","",MAX(0,MIN($O76,moc_loi_den)-MAX($N76,moc_loi_tu)))</f>
        <v/>
      </c>
      <c r="R76" s="17" t="str">
        <f t="shared" si="5"/>
        <v/>
      </c>
      <c r="S76" s="4" t="str">
        <f t="shared" si="6"/>
        <v/>
      </c>
      <c r="T76" s="6">
        <f>IF($N76="",0,($P76*rate_gio_bien+$Q76*rate_gio_loi)*IF($G76="Lễ",he_so_le,1))</f>
        <v>0</v>
      </c>
      <c r="U76" s="6">
        <f>IF($N76="",0,IF($S76="Blaze",bca_blaze,IF($S76="Spark",bca_spark,0))*IF($G76="Lễ",he_so_le,1))</f>
        <v>0</v>
      </c>
      <c r="V76" s="24">
        <f t="shared" si="7"/>
        <v>0</v>
      </c>
      <c r="W76" s="24">
        <f>IF(OR($F76&lt;&gt;"OPS",$H76=""),0,ROUND(IF(AND($H76&gt;=TIME(6,0,0),$H76&lt;TIME(8,0,0)),ops_0600_0800,IF(AND($H76&gt;=TIME(8,0,0),$H76&lt;TIME(18,0,0)),ops_0800_1800,IF(AND($H76&gt;=TIME(18,0,0),$H76&lt;TIME(22,0,0)),ops_1800_2200,IF(OR($H76&gt;=TIME(22,0,0),$H76&lt;TIME(1,0,0)),ops_2200_0100,IF(AND($H76&gt;=TIME(1,0,0),$H76&lt;TIME(6,0,0)),ops_0100_0600,0)))))+IF($G76="Lễ",ops_phu_troi_le,0),0))</f>
        <v>0</v>
      </c>
      <c r="X76" s="16">
        <f t="shared" si="8"/>
        <v>0</v>
      </c>
      <c r="Y76" s="6" t="str">
        <f>IF(OR($F76&lt;&gt;"OPS",$K76=""),"",IF($K76&lt;=ops_kg_1nguoi,1,ops_nguoi_toi_da))</f>
        <v/>
      </c>
      <c r="Z76" s="15" t="str">
        <f t="shared" si="9"/>
        <v/>
      </c>
      <c r="AA76" s="5"/>
    </row>
    <row r="77" spans="2:27">
      <c r="B77" s="6" t="str">
        <f>IF($D77="","",72)</f>
        <v/>
      </c>
      <c r="C77" s="19"/>
      <c r="D77" s="20"/>
      <c r="E77" s="15" t="str">
        <f>IFERROR(VLOOKUP(D77,Assumption!$B$69:$C$80,2,0),"")</f>
        <v/>
      </c>
      <c r="F77" s="20"/>
      <c r="G77" s="20"/>
      <c r="H77" s="21"/>
      <c r="I77" s="21"/>
      <c r="J77" s="5"/>
      <c r="K77" s="22"/>
      <c r="L77" s="22"/>
      <c r="M77" s="20"/>
      <c r="N77" s="23" t="str">
        <f>IF(OR($F77&lt;&gt;"TRUC_DEM",$H77=""),"",(HOUR($H77)+MINUTE($H77)/60)+IF((HOUR($H77)+MINUTE($H77)/60)&lt;moc_chia_ngay,24,0))</f>
        <v/>
      </c>
      <c r="O77" s="23" t="str">
        <f>IF(OR($F77&lt;&gt;"TRUC_DEM",$I77=""),"",(HOUR($I77)+MINUTE($I77)/60)+IF((HOUR($I77)+MINUTE($I77)/60)&lt;moc_chia_ngay,24,0))</f>
        <v/>
      </c>
      <c r="P77" s="17" t="str">
        <f>IF($N77="","",MAX(0,MIN($O77,moc_loi_tu)-MAX($N77,moc_dem_tu))+MAX(0,MIN($O77,moc_dem_den)-MAX($N77,moc_loi_den)))</f>
        <v/>
      </c>
      <c r="Q77" s="17" t="str">
        <f>IF($N77="","",MAX(0,MIN($O77,moc_loi_den)-MAX($N77,moc_loi_tu)))</f>
        <v/>
      </c>
      <c r="R77" s="17" t="str">
        <f t="shared" si="5"/>
        <v/>
      </c>
      <c r="S77" s="4" t="str">
        <f t="shared" si="6"/>
        <v/>
      </c>
      <c r="T77" s="6">
        <f>IF($N77="",0,($P77*rate_gio_bien+$Q77*rate_gio_loi)*IF($G77="Lễ",he_so_le,1))</f>
        <v>0</v>
      </c>
      <c r="U77" s="6">
        <f>IF($N77="",0,IF($S77="Blaze",bca_blaze,IF($S77="Spark",bca_spark,0))*IF($G77="Lễ",he_so_le,1))</f>
        <v>0</v>
      </c>
      <c r="V77" s="24">
        <f t="shared" si="7"/>
        <v>0</v>
      </c>
      <c r="W77" s="24">
        <f>IF(OR($F77&lt;&gt;"OPS",$H77=""),0,ROUND(IF(AND($H77&gt;=TIME(6,0,0),$H77&lt;TIME(8,0,0)),ops_0600_0800,IF(AND($H77&gt;=TIME(8,0,0),$H77&lt;TIME(18,0,0)),ops_0800_1800,IF(AND($H77&gt;=TIME(18,0,0),$H77&lt;TIME(22,0,0)),ops_1800_2200,IF(OR($H77&gt;=TIME(22,0,0),$H77&lt;TIME(1,0,0)),ops_2200_0100,IF(AND($H77&gt;=TIME(1,0,0),$H77&lt;TIME(6,0,0)),ops_0100_0600,0)))))+IF($G77="Lễ",ops_phu_troi_le,0),0))</f>
        <v>0</v>
      </c>
      <c r="X77" s="16">
        <f t="shared" si="8"/>
        <v>0</v>
      </c>
      <c r="Y77" s="6" t="str">
        <f>IF(OR($F77&lt;&gt;"OPS",$K77=""),"",IF($K77&lt;=ops_kg_1nguoi,1,ops_nguoi_toi_da))</f>
        <v/>
      </c>
      <c r="Z77" s="15" t="str">
        <f t="shared" si="9"/>
        <v/>
      </c>
      <c r="AA77" s="5"/>
    </row>
    <row r="78" spans="2:27">
      <c r="B78" s="6" t="str">
        <f>IF($D78="","",73)</f>
        <v/>
      </c>
      <c r="C78" s="19"/>
      <c r="D78" s="20"/>
      <c r="E78" s="15" t="str">
        <f>IFERROR(VLOOKUP(D78,Assumption!$B$69:$C$80,2,0),"")</f>
        <v/>
      </c>
      <c r="F78" s="20"/>
      <c r="G78" s="20"/>
      <c r="H78" s="21"/>
      <c r="I78" s="21"/>
      <c r="J78" s="5"/>
      <c r="K78" s="22"/>
      <c r="L78" s="22"/>
      <c r="M78" s="20"/>
      <c r="N78" s="23" t="str">
        <f>IF(OR($F78&lt;&gt;"TRUC_DEM",$H78=""),"",(HOUR($H78)+MINUTE($H78)/60)+IF((HOUR($H78)+MINUTE($H78)/60)&lt;moc_chia_ngay,24,0))</f>
        <v/>
      </c>
      <c r="O78" s="23" t="str">
        <f>IF(OR($F78&lt;&gt;"TRUC_DEM",$I78=""),"",(HOUR($I78)+MINUTE($I78)/60)+IF((HOUR($I78)+MINUTE($I78)/60)&lt;moc_chia_ngay,24,0))</f>
        <v/>
      </c>
      <c r="P78" s="17" t="str">
        <f>IF($N78="","",MAX(0,MIN($O78,moc_loi_tu)-MAX($N78,moc_dem_tu))+MAX(0,MIN($O78,moc_dem_den)-MAX($N78,moc_loi_den)))</f>
        <v/>
      </c>
      <c r="Q78" s="17" t="str">
        <f>IF($N78="","",MAX(0,MIN($O78,moc_loi_den)-MAX($N78,moc_loi_tu)))</f>
        <v/>
      </c>
      <c r="R78" s="17" t="str">
        <f t="shared" si="5"/>
        <v/>
      </c>
      <c r="S78" s="4" t="str">
        <f t="shared" si="6"/>
        <v/>
      </c>
      <c r="T78" s="6">
        <f>IF($N78="",0,($P78*rate_gio_bien+$Q78*rate_gio_loi)*IF($G78="Lễ",he_so_le,1))</f>
        <v>0</v>
      </c>
      <c r="U78" s="6">
        <f>IF($N78="",0,IF($S78="Blaze",bca_blaze,IF($S78="Spark",bca_spark,0))*IF($G78="Lễ",he_so_le,1))</f>
        <v>0</v>
      </c>
      <c r="V78" s="24">
        <f t="shared" si="7"/>
        <v>0</v>
      </c>
      <c r="W78" s="24">
        <f>IF(OR($F78&lt;&gt;"OPS",$H78=""),0,ROUND(IF(AND($H78&gt;=TIME(6,0,0),$H78&lt;TIME(8,0,0)),ops_0600_0800,IF(AND($H78&gt;=TIME(8,0,0),$H78&lt;TIME(18,0,0)),ops_0800_1800,IF(AND($H78&gt;=TIME(18,0,0),$H78&lt;TIME(22,0,0)),ops_1800_2200,IF(OR($H78&gt;=TIME(22,0,0),$H78&lt;TIME(1,0,0)),ops_2200_0100,IF(AND($H78&gt;=TIME(1,0,0),$H78&lt;TIME(6,0,0)),ops_0100_0600,0)))))+IF($G78="Lễ",ops_phu_troi_le,0),0))</f>
        <v>0</v>
      </c>
      <c r="X78" s="16">
        <f t="shared" si="8"/>
        <v>0</v>
      </c>
      <c r="Y78" s="6" t="str">
        <f>IF(OR($F78&lt;&gt;"OPS",$K78=""),"",IF($K78&lt;=ops_kg_1nguoi,1,ops_nguoi_toi_da))</f>
        <v/>
      </c>
      <c r="Z78" s="15" t="str">
        <f t="shared" si="9"/>
        <v/>
      </c>
      <c r="AA78" s="5"/>
    </row>
    <row r="79" spans="2:27">
      <c r="B79" s="6" t="str">
        <f>IF($D79="","",74)</f>
        <v/>
      </c>
      <c r="C79" s="19"/>
      <c r="D79" s="20"/>
      <c r="E79" s="15" t="str">
        <f>IFERROR(VLOOKUP(D79,Assumption!$B$69:$C$80,2,0),"")</f>
        <v/>
      </c>
      <c r="F79" s="20"/>
      <c r="G79" s="20"/>
      <c r="H79" s="21"/>
      <c r="I79" s="21"/>
      <c r="J79" s="5"/>
      <c r="K79" s="22"/>
      <c r="L79" s="22"/>
      <c r="M79" s="20"/>
      <c r="N79" s="23" t="str">
        <f>IF(OR($F79&lt;&gt;"TRUC_DEM",$H79=""),"",(HOUR($H79)+MINUTE($H79)/60)+IF((HOUR($H79)+MINUTE($H79)/60)&lt;moc_chia_ngay,24,0))</f>
        <v/>
      </c>
      <c r="O79" s="23" t="str">
        <f>IF(OR($F79&lt;&gt;"TRUC_DEM",$I79=""),"",(HOUR($I79)+MINUTE($I79)/60)+IF((HOUR($I79)+MINUTE($I79)/60)&lt;moc_chia_ngay,24,0))</f>
        <v/>
      </c>
      <c r="P79" s="17" t="str">
        <f>IF($N79="","",MAX(0,MIN($O79,moc_loi_tu)-MAX($N79,moc_dem_tu))+MAX(0,MIN($O79,moc_dem_den)-MAX($N79,moc_loi_den)))</f>
        <v/>
      </c>
      <c r="Q79" s="17" t="str">
        <f>IF($N79="","",MAX(0,MIN($O79,moc_loi_den)-MAX($N79,moc_loi_tu)))</f>
        <v/>
      </c>
      <c r="R79" s="17" t="str">
        <f t="shared" si="5"/>
        <v/>
      </c>
      <c r="S79" s="4" t="str">
        <f t="shared" si="6"/>
        <v/>
      </c>
      <c r="T79" s="6">
        <f>IF($N79="",0,($P79*rate_gio_bien+$Q79*rate_gio_loi)*IF($G79="Lễ",he_so_le,1))</f>
        <v>0</v>
      </c>
      <c r="U79" s="6">
        <f>IF($N79="",0,IF($S79="Blaze",bca_blaze,IF($S79="Spark",bca_spark,0))*IF($G79="Lễ",he_so_le,1))</f>
        <v>0</v>
      </c>
      <c r="V79" s="24">
        <f t="shared" si="7"/>
        <v>0</v>
      </c>
      <c r="W79" s="24">
        <f>IF(OR($F79&lt;&gt;"OPS",$H79=""),0,ROUND(IF(AND($H79&gt;=TIME(6,0,0),$H79&lt;TIME(8,0,0)),ops_0600_0800,IF(AND($H79&gt;=TIME(8,0,0),$H79&lt;TIME(18,0,0)),ops_0800_1800,IF(AND($H79&gt;=TIME(18,0,0),$H79&lt;TIME(22,0,0)),ops_1800_2200,IF(OR($H79&gt;=TIME(22,0,0),$H79&lt;TIME(1,0,0)),ops_2200_0100,IF(AND($H79&gt;=TIME(1,0,0),$H79&lt;TIME(6,0,0)),ops_0100_0600,0)))))+IF($G79="Lễ",ops_phu_troi_le,0),0))</f>
        <v>0</v>
      </c>
      <c r="X79" s="16">
        <f t="shared" si="8"/>
        <v>0</v>
      </c>
      <c r="Y79" s="6" t="str">
        <f>IF(OR($F79&lt;&gt;"OPS",$K79=""),"",IF($K79&lt;=ops_kg_1nguoi,1,ops_nguoi_toi_da))</f>
        <v/>
      </c>
      <c r="Z79" s="15" t="str">
        <f t="shared" si="9"/>
        <v/>
      </c>
      <c r="AA79" s="5"/>
    </row>
    <row r="80" spans="2:27">
      <c r="B80" s="6" t="str">
        <f>IF($D80="","",75)</f>
        <v/>
      </c>
      <c r="C80" s="19"/>
      <c r="D80" s="20"/>
      <c r="E80" s="15" t="str">
        <f>IFERROR(VLOOKUP(D80,Assumption!$B$69:$C$80,2,0),"")</f>
        <v/>
      </c>
      <c r="F80" s="20"/>
      <c r="G80" s="20"/>
      <c r="H80" s="21"/>
      <c r="I80" s="21"/>
      <c r="J80" s="5"/>
      <c r="K80" s="22"/>
      <c r="L80" s="22"/>
      <c r="M80" s="20"/>
      <c r="N80" s="23" t="str">
        <f>IF(OR($F80&lt;&gt;"TRUC_DEM",$H80=""),"",(HOUR($H80)+MINUTE($H80)/60)+IF((HOUR($H80)+MINUTE($H80)/60)&lt;moc_chia_ngay,24,0))</f>
        <v/>
      </c>
      <c r="O80" s="23" t="str">
        <f>IF(OR($F80&lt;&gt;"TRUC_DEM",$I80=""),"",(HOUR($I80)+MINUTE($I80)/60)+IF((HOUR($I80)+MINUTE($I80)/60)&lt;moc_chia_ngay,24,0))</f>
        <v/>
      </c>
      <c r="P80" s="17" t="str">
        <f>IF($N80="","",MAX(0,MIN($O80,moc_loi_tu)-MAX($N80,moc_dem_tu))+MAX(0,MIN($O80,moc_dem_den)-MAX($N80,moc_loi_den)))</f>
        <v/>
      </c>
      <c r="Q80" s="17" t="str">
        <f>IF($N80="","",MAX(0,MIN($O80,moc_loi_den)-MAX($N80,moc_loi_tu)))</f>
        <v/>
      </c>
      <c r="R80" s="17" t="str">
        <f t="shared" si="5"/>
        <v/>
      </c>
      <c r="S80" s="4" t="str">
        <f t="shared" si="6"/>
        <v/>
      </c>
      <c r="T80" s="6">
        <f>IF($N80="",0,($P80*rate_gio_bien+$Q80*rate_gio_loi)*IF($G80="Lễ",he_so_le,1))</f>
        <v>0</v>
      </c>
      <c r="U80" s="6">
        <f>IF($N80="",0,IF($S80="Blaze",bca_blaze,IF($S80="Spark",bca_spark,0))*IF($G80="Lễ",he_so_le,1))</f>
        <v>0</v>
      </c>
      <c r="V80" s="24">
        <f t="shared" si="7"/>
        <v>0</v>
      </c>
      <c r="W80" s="24">
        <f>IF(OR($F80&lt;&gt;"OPS",$H80=""),0,ROUND(IF(AND($H80&gt;=TIME(6,0,0),$H80&lt;TIME(8,0,0)),ops_0600_0800,IF(AND($H80&gt;=TIME(8,0,0),$H80&lt;TIME(18,0,0)),ops_0800_1800,IF(AND($H80&gt;=TIME(18,0,0),$H80&lt;TIME(22,0,0)),ops_1800_2200,IF(OR($H80&gt;=TIME(22,0,0),$H80&lt;TIME(1,0,0)),ops_2200_0100,IF(AND($H80&gt;=TIME(1,0,0),$H80&lt;TIME(6,0,0)),ops_0100_0600,0)))))+IF($G80="Lễ",ops_phu_troi_le,0),0))</f>
        <v>0</v>
      </c>
      <c r="X80" s="16">
        <f t="shared" si="8"/>
        <v>0</v>
      </c>
      <c r="Y80" s="6" t="str">
        <f>IF(OR($F80&lt;&gt;"OPS",$K80=""),"",IF($K80&lt;=ops_kg_1nguoi,1,ops_nguoi_toi_da))</f>
        <v/>
      </c>
      <c r="Z80" s="15" t="str">
        <f t="shared" si="9"/>
        <v/>
      </c>
      <c r="AA80" s="5"/>
    </row>
    <row r="81" spans="2:27">
      <c r="B81" s="6" t="str">
        <f>IF($D81="","",76)</f>
        <v/>
      </c>
      <c r="C81" s="19"/>
      <c r="D81" s="20"/>
      <c r="E81" s="15" t="str">
        <f>IFERROR(VLOOKUP(D81,Assumption!$B$69:$C$80,2,0),"")</f>
        <v/>
      </c>
      <c r="F81" s="20"/>
      <c r="G81" s="20"/>
      <c r="H81" s="21"/>
      <c r="I81" s="21"/>
      <c r="J81" s="5"/>
      <c r="K81" s="22"/>
      <c r="L81" s="22"/>
      <c r="M81" s="20"/>
      <c r="N81" s="23" t="str">
        <f>IF(OR($F81&lt;&gt;"TRUC_DEM",$H81=""),"",(HOUR($H81)+MINUTE($H81)/60)+IF((HOUR($H81)+MINUTE($H81)/60)&lt;moc_chia_ngay,24,0))</f>
        <v/>
      </c>
      <c r="O81" s="23" t="str">
        <f>IF(OR($F81&lt;&gt;"TRUC_DEM",$I81=""),"",(HOUR($I81)+MINUTE($I81)/60)+IF((HOUR($I81)+MINUTE($I81)/60)&lt;moc_chia_ngay,24,0))</f>
        <v/>
      </c>
      <c r="P81" s="17" t="str">
        <f>IF($N81="","",MAX(0,MIN($O81,moc_loi_tu)-MAX($N81,moc_dem_tu))+MAX(0,MIN($O81,moc_dem_den)-MAX($N81,moc_loi_den)))</f>
        <v/>
      </c>
      <c r="Q81" s="17" t="str">
        <f>IF($N81="","",MAX(0,MIN($O81,moc_loi_den)-MAX($N81,moc_loi_tu)))</f>
        <v/>
      </c>
      <c r="R81" s="17" t="str">
        <f t="shared" si="5"/>
        <v/>
      </c>
      <c r="S81" s="4" t="str">
        <f t="shared" si="6"/>
        <v/>
      </c>
      <c r="T81" s="6">
        <f>IF($N81="",0,($P81*rate_gio_bien+$Q81*rate_gio_loi)*IF($G81="Lễ",he_so_le,1))</f>
        <v>0</v>
      </c>
      <c r="U81" s="6">
        <f>IF($N81="",0,IF($S81="Blaze",bca_blaze,IF($S81="Spark",bca_spark,0))*IF($G81="Lễ",he_so_le,1))</f>
        <v>0</v>
      </c>
      <c r="V81" s="24">
        <f t="shared" si="7"/>
        <v>0</v>
      </c>
      <c r="W81" s="24">
        <f>IF(OR($F81&lt;&gt;"OPS",$H81=""),0,ROUND(IF(AND($H81&gt;=TIME(6,0,0),$H81&lt;TIME(8,0,0)),ops_0600_0800,IF(AND($H81&gt;=TIME(8,0,0),$H81&lt;TIME(18,0,0)),ops_0800_1800,IF(AND($H81&gt;=TIME(18,0,0),$H81&lt;TIME(22,0,0)),ops_1800_2200,IF(OR($H81&gt;=TIME(22,0,0),$H81&lt;TIME(1,0,0)),ops_2200_0100,IF(AND($H81&gt;=TIME(1,0,0),$H81&lt;TIME(6,0,0)),ops_0100_0600,0)))))+IF($G81="Lễ",ops_phu_troi_le,0),0))</f>
        <v>0</v>
      </c>
      <c r="X81" s="16">
        <f t="shared" si="8"/>
        <v>0</v>
      </c>
      <c r="Y81" s="6" t="str">
        <f>IF(OR($F81&lt;&gt;"OPS",$K81=""),"",IF($K81&lt;=ops_kg_1nguoi,1,ops_nguoi_toi_da))</f>
        <v/>
      </c>
      <c r="Z81" s="15" t="str">
        <f t="shared" si="9"/>
        <v/>
      </c>
      <c r="AA81" s="5"/>
    </row>
    <row r="82" spans="2:27">
      <c r="B82" s="6" t="str">
        <f>IF($D82="","",77)</f>
        <v/>
      </c>
      <c r="C82" s="19"/>
      <c r="D82" s="20"/>
      <c r="E82" s="15" t="str">
        <f>IFERROR(VLOOKUP(D82,Assumption!$B$69:$C$80,2,0),"")</f>
        <v/>
      </c>
      <c r="F82" s="20"/>
      <c r="G82" s="20"/>
      <c r="H82" s="21"/>
      <c r="I82" s="21"/>
      <c r="J82" s="5"/>
      <c r="K82" s="22"/>
      <c r="L82" s="22"/>
      <c r="M82" s="20"/>
      <c r="N82" s="23" t="str">
        <f>IF(OR($F82&lt;&gt;"TRUC_DEM",$H82=""),"",(HOUR($H82)+MINUTE($H82)/60)+IF((HOUR($H82)+MINUTE($H82)/60)&lt;moc_chia_ngay,24,0))</f>
        <v/>
      </c>
      <c r="O82" s="23" t="str">
        <f>IF(OR($F82&lt;&gt;"TRUC_DEM",$I82=""),"",(HOUR($I82)+MINUTE($I82)/60)+IF((HOUR($I82)+MINUTE($I82)/60)&lt;moc_chia_ngay,24,0))</f>
        <v/>
      </c>
      <c r="P82" s="17" t="str">
        <f>IF($N82="","",MAX(0,MIN($O82,moc_loi_tu)-MAX($N82,moc_dem_tu))+MAX(0,MIN($O82,moc_dem_den)-MAX($N82,moc_loi_den)))</f>
        <v/>
      </c>
      <c r="Q82" s="17" t="str">
        <f>IF($N82="","",MAX(0,MIN($O82,moc_loi_den)-MAX($N82,moc_loi_tu)))</f>
        <v/>
      </c>
      <c r="R82" s="17" t="str">
        <f t="shared" si="5"/>
        <v/>
      </c>
      <c r="S82" s="4" t="str">
        <f t="shared" si="6"/>
        <v/>
      </c>
      <c r="T82" s="6">
        <f>IF($N82="",0,($P82*rate_gio_bien+$Q82*rate_gio_loi)*IF($G82="Lễ",he_so_le,1))</f>
        <v>0</v>
      </c>
      <c r="U82" s="6">
        <f>IF($N82="",0,IF($S82="Blaze",bca_blaze,IF($S82="Spark",bca_spark,0))*IF($G82="Lễ",he_so_le,1))</f>
        <v>0</v>
      </c>
      <c r="V82" s="24">
        <f t="shared" si="7"/>
        <v>0</v>
      </c>
      <c r="W82" s="24">
        <f>IF(OR($F82&lt;&gt;"OPS",$H82=""),0,ROUND(IF(AND($H82&gt;=TIME(6,0,0),$H82&lt;TIME(8,0,0)),ops_0600_0800,IF(AND($H82&gt;=TIME(8,0,0),$H82&lt;TIME(18,0,0)),ops_0800_1800,IF(AND($H82&gt;=TIME(18,0,0),$H82&lt;TIME(22,0,0)),ops_1800_2200,IF(OR($H82&gt;=TIME(22,0,0),$H82&lt;TIME(1,0,0)),ops_2200_0100,IF(AND($H82&gt;=TIME(1,0,0),$H82&lt;TIME(6,0,0)),ops_0100_0600,0)))))+IF($G82="Lễ",ops_phu_troi_le,0),0))</f>
        <v>0</v>
      </c>
      <c r="X82" s="16">
        <f t="shared" si="8"/>
        <v>0</v>
      </c>
      <c r="Y82" s="6" t="str">
        <f>IF(OR($F82&lt;&gt;"OPS",$K82=""),"",IF($K82&lt;=ops_kg_1nguoi,1,ops_nguoi_toi_da))</f>
        <v/>
      </c>
      <c r="Z82" s="15" t="str">
        <f t="shared" si="9"/>
        <v/>
      </c>
      <c r="AA82" s="5"/>
    </row>
    <row r="83" spans="2:27">
      <c r="B83" s="6" t="str">
        <f>IF($D83="","",78)</f>
        <v/>
      </c>
      <c r="C83" s="19"/>
      <c r="D83" s="20"/>
      <c r="E83" s="15" t="str">
        <f>IFERROR(VLOOKUP(D83,Assumption!$B$69:$C$80,2,0),"")</f>
        <v/>
      </c>
      <c r="F83" s="20"/>
      <c r="G83" s="20"/>
      <c r="H83" s="21"/>
      <c r="I83" s="21"/>
      <c r="J83" s="5"/>
      <c r="K83" s="22"/>
      <c r="L83" s="22"/>
      <c r="M83" s="20"/>
      <c r="N83" s="23" t="str">
        <f>IF(OR($F83&lt;&gt;"TRUC_DEM",$H83=""),"",(HOUR($H83)+MINUTE($H83)/60)+IF((HOUR($H83)+MINUTE($H83)/60)&lt;moc_chia_ngay,24,0))</f>
        <v/>
      </c>
      <c r="O83" s="23" t="str">
        <f>IF(OR($F83&lt;&gt;"TRUC_DEM",$I83=""),"",(HOUR($I83)+MINUTE($I83)/60)+IF((HOUR($I83)+MINUTE($I83)/60)&lt;moc_chia_ngay,24,0))</f>
        <v/>
      </c>
      <c r="P83" s="17" t="str">
        <f>IF($N83="","",MAX(0,MIN($O83,moc_loi_tu)-MAX($N83,moc_dem_tu))+MAX(0,MIN($O83,moc_dem_den)-MAX($N83,moc_loi_den)))</f>
        <v/>
      </c>
      <c r="Q83" s="17" t="str">
        <f>IF($N83="","",MAX(0,MIN($O83,moc_loi_den)-MAX($N83,moc_loi_tu)))</f>
        <v/>
      </c>
      <c r="R83" s="17" t="str">
        <f t="shared" si="5"/>
        <v/>
      </c>
      <c r="S83" s="4" t="str">
        <f t="shared" si="6"/>
        <v/>
      </c>
      <c r="T83" s="6">
        <f>IF($N83="",0,($P83*rate_gio_bien+$Q83*rate_gio_loi)*IF($G83="Lễ",he_so_le,1))</f>
        <v>0</v>
      </c>
      <c r="U83" s="6">
        <f>IF($N83="",0,IF($S83="Blaze",bca_blaze,IF($S83="Spark",bca_spark,0))*IF($G83="Lễ",he_so_le,1))</f>
        <v>0</v>
      </c>
      <c r="V83" s="24">
        <f t="shared" si="7"/>
        <v>0</v>
      </c>
      <c r="W83" s="24">
        <f>IF(OR($F83&lt;&gt;"OPS",$H83=""),0,ROUND(IF(AND($H83&gt;=TIME(6,0,0),$H83&lt;TIME(8,0,0)),ops_0600_0800,IF(AND($H83&gt;=TIME(8,0,0),$H83&lt;TIME(18,0,0)),ops_0800_1800,IF(AND($H83&gt;=TIME(18,0,0),$H83&lt;TIME(22,0,0)),ops_1800_2200,IF(OR($H83&gt;=TIME(22,0,0),$H83&lt;TIME(1,0,0)),ops_2200_0100,IF(AND($H83&gt;=TIME(1,0,0),$H83&lt;TIME(6,0,0)),ops_0100_0600,0)))))+IF($G83="Lễ",ops_phu_troi_le,0),0))</f>
        <v>0</v>
      </c>
      <c r="X83" s="16">
        <f t="shared" si="8"/>
        <v>0</v>
      </c>
      <c r="Y83" s="6" t="str">
        <f>IF(OR($F83&lt;&gt;"OPS",$K83=""),"",IF($K83&lt;=ops_kg_1nguoi,1,ops_nguoi_toi_da))</f>
        <v/>
      </c>
      <c r="Z83" s="15" t="str">
        <f t="shared" si="9"/>
        <v/>
      </c>
      <c r="AA83" s="5"/>
    </row>
    <row r="84" spans="2:27">
      <c r="B84" s="6" t="str">
        <f>IF($D84="","",79)</f>
        <v/>
      </c>
      <c r="C84" s="19"/>
      <c r="D84" s="20"/>
      <c r="E84" s="15" t="str">
        <f>IFERROR(VLOOKUP(D84,Assumption!$B$69:$C$80,2,0),"")</f>
        <v/>
      </c>
      <c r="F84" s="20"/>
      <c r="G84" s="20"/>
      <c r="H84" s="21"/>
      <c r="I84" s="21"/>
      <c r="J84" s="5"/>
      <c r="K84" s="22"/>
      <c r="L84" s="22"/>
      <c r="M84" s="20"/>
      <c r="N84" s="23" t="str">
        <f>IF(OR($F84&lt;&gt;"TRUC_DEM",$H84=""),"",(HOUR($H84)+MINUTE($H84)/60)+IF((HOUR($H84)+MINUTE($H84)/60)&lt;moc_chia_ngay,24,0))</f>
        <v/>
      </c>
      <c r="O84" s="23" t="str">
        <f>IF(OR($F84&lt;&gt;"TRUC_DEM",$I84=""),"",(HOUR($I84)+MINUTE($I84)/60)+IF((HOUR($I84)+MINUTE($I84)/60)&lt;moc_chia_ngay,24,0))</f>
        <v/>
      </c>
      <c r="P84" s="17" t="str">
        <f>IF($N84="","",MAX(0,MIN($O84,moc_loi_tu)-MAX($N84,moc_dem_tu))+MAX(0,MIN($O84,moc_dem_den)-MAX($N84,moc_loi_den)))</f>
        <v/>
      </c>
      <c r="Q84" s="17" t="str">
        <f>IF($N84="","",MAX(0,MIN($O84,moc_loi_den)-MAX($N84,moc_loi_tu)))</f>
        <v/>
      </c>
      <c r="R84" s="17" t="str">
        <f t="shared" si="5"/>
        <v/>
      </c>
      <c r="S84" s="4" t="str">
        <f t="shared" si="6"/>
        <v/>
      </c>
      <c r="T84" s="6">
        <f>IF($N84="",0,($P84*rate_gio_bien+$Q84*rate_gio_loi)*IF($G84="Lễ",he_so_le,1))</f>
        <v>0</v>
      </c>
      <c r="U84" s="6">
        <f>IF($N84="",0,IF($S84="Blaze",bca_blaze,IF($S84="Spark",bca_spark,0))*IF($G84="Lễ",he_so_le,1))</f>
        <v>0</v>
      </c>
      <c r="V84" s="24">
        <f t="shared" si="7"/>
        <v>0</v>
      </c>
      <c r="W84" s="24">
        <f>IF(OR($F84&lt;&gt;"OPS",$H84=""),0,ROUND(IF(AND($H84&gt;=TIME(6,0,0),$H84&lt;TIME(8,0,0)),ops_0600_0800,IF(AND($H84&gt;=TIME(8,0,0),$H84&lt;TIME(18,0,0)),ops_0800_1800,IF(AND($H84&gt;=TIME(18,0,0),$H84&lt;TIME(22,0,0)),ops_1800_2200,IF(OR($H84&gt;=TIME(22,0,0),$H84&lt;TIME(1,0,0)),ops_2200_0100,IF(AND($H84&gt;=TIME(1,0,0),$H84&lt;TIME(6,0,0)),ops_0100_0600,0)))))+IF($G84="Lễ",ops_phu_troi_le,0),0))</f>
        <v>0</v>
      </c>
      <c r="X84" s="16">
        <f t="shared" si="8"/>
        <v>0</v>
      </c>
      <c r="Y84" s="6" t="str">
        <f>IF(OR($F84&lt;&gt;"OPS",$K84=""),"",IF($K84&lt;=ops_kg_1nguoi,1,ops_nguoi_toi_da))</f>
        <v/>
      </c>
      <c r="Z84" s="15" t="str">
        <f t="shared" si="9"/>
        <v/>
      </c>
      <c r="AA84" s="5"/>
    </row>
    <row r="85" spans="2:27">
      <c r="B85" s="6" t="str">
        <f>IF($D85="","",80)</f>
        <v/>
      </c>
      <c r="C85" s="19"/>
      <c r="D85" s="20"/>
      <c r="E85" s="15" t="str">
        <f>IFERROR(VLOOKUP(D85,Assumption!$B$69:$C$80,2,0),"")</f>
        <v/>
      </c>
      <c r="F85" s="20"/>
      <c r="G85" s="20"/>
      <c r="H85" s="21"/>
      <c r="I85" s="21"/>
      <c r="J85" s="5"/>
      <c r="K85" s="22"/>
      <c r="L85" s="22"/>
      <c r="M85" s="20"/>
      <c r="N85" s="23" t="str">
        <f>IF(OR($F85&lt;&gt;"TRUC_DEM",$H85=""),"",(HOUR($H85)+MINUTE($H85)/60)+IF((HOUR($H85)+MINUTE($H85)/60)&lt;moc_chia_ngay,24,0))</f>
        <v/>
      </c>
      <c r="O85" s="23" t="str">
        <f>IF(OR($F85&lt;&gt;"TRUC_DEM",$I85=""),"",(HOUR($I85)+MINUTE($I85)/60)+IF((HOUR($I85)+MINUTE($I85)/60)&lt;moc_chia_ngay,24,0))</f>
        <v/>
      </c>
      <c r="P85" s="17" t="str">
        <f>IF($N85="","",MAX(0,MIN($O85,moc_loi_tu)-MAX($N85,moc_dem_tu))+MAX(0,MIN($O85,moc_dem_den)-MAX($N85,moc_loi_den)))</f>
        <v/>
      </c>
      <c r="Q85" s="17" t="str">
        <f>IF($N85="","",MAX(0,MIN($O85,moc_loi_den)-MAX($N85,moc_loi_tu)))</f>
        <v/>
      </c>
      <c r="R85" s="17" t="str">
        <f t="shared" si="5"/>
        <v/>
      </c>
      <c r="S85" s="4" t="str">
        <f t="shared" si="6"/>
        <v/>
      </c>
      <c r="T85" s="6">
        <f>IF($N85="",0,($P85*rate_gio_bien+$Q85*rate_gio_loi)*IF($G85="Lễ",he_so_le,1))</f>
        <v>0</v>
      </c>
      <c r="U85" s="6">
        <f>IF($N85="",0,IF($S85="Blaze",bca_blaze,IF($S85="Spark",bca_spark,0))*IF($G85="Lễ",he_so_le,1))</f>
        <v>0</v>
      </c>
      <c r="V85" s="24">
        <f t="shared" si="7"/>
        <v>0</v>
      </c>
      <c r="W85" s="24">
        <f>IF(OR($F85&lt;&gt;"OPS",$H85=""),0,ROUND(IF(AND($H85&gt;=TIME(6,0,0),$H85&lt;TIME(8,0,0)),ops_0600_0800,IF(AND($H85&gt;=TIME(8,0,0),$H85&lt;TIME(18,0,0)),ops_0800_1800,IF(AND($H85&gt;=TIME(18,0,0),$H85&lt;TIME(22,0,0)),ops_1800_2200,IF(OR($H85&gt;=TIME(22,0,0),$H85&lt;TIME(1,0,0)),ops_2200_0100,IF(AND($H85&gt;=TIME(1,0,0),$H85&lt;TIME(6,0,0)),ops_0100_0600,0)))))+IF($G85="Lễ",ops_phu_troi_le,0),0))</f>
        <v>0</v>
      </c>
      <c r="X85" s="16">
        <f t="shared" si="8"/>
        <v>0</v>
      </c>
      <c r="Y85" s="6" t="str">
        <f>IF(OR($F85&lt;&gt;"OPS",$K85=""),"",IF($K85&lt;=ops_kg_1nguoi,1,ops_nguoi_toi_da))</f>
        <v/>
      </c>
      <c r="Z85" s="15" t="str">
        <f t="shared" si="9"/>
        <v/>
      </c>
      <c r="AA85" s="5"/>
    </row>
    <row r="86" spans="2:27">
      <c r="B86" s="6" t="str">
        <f>IF($D86="","",81)</f>
        <v/>
      </c>
      <c r="C86" s="19"/>
      <c r="D86" s="20"/>
      <c r="E86" s="15" t="str">
        <f>IFERROR(VLOOKUP(D86,Assumption!$B$69:$C$80,2,0),"")</f>
        <v/>
      </c>
      <c r="F86" s="20"/>
      <c r="G86" s="20"/>
      <c r="H86" s="21"/>
      <c r="I86" s="21"/>
      <c r="J86" s="5"/>
      <c r="K86" s="22"/>
      <c r="L86" s="22"/>
      <c r="M86" s="20"/>
      <c r="N86" s="23" t="str">
        <f>IF(OR($F86&lt;&gt;"TRUC_DEM",$H86=""),"",(HOUR($H86)+MINUTE($H86)/60)+IF((HOUR($H86)+MINUTE($H86)/60)&lt;moc_chia_ngay,24,0))</f>
        <v/>
      </c>
      <c r="O86" s="23" t="str">
        <f>IF(OR($F86&lt;&gt;"TRUC_DEM",$I86=""),"",(HOUR($I86)+MINUTE($I86)/60)+IF((HOUR($I86)+MINUTE($I86)/60)&lt;moc_chia_ngay,24,0))</f>
        <v/>
      </c>
      <c r="P86" s="17" t="str">
        <f>IF($N86="","",MAX(0,MIN($O86,moc_loi_tu)-MAX($N86,moc_dem_tu))+MAX(0,MIN($O86,moc_dem_den)-MAX($N86,moc_loi_den)))</f>
        <v/>
      </c>
      <c r="Q86" s="17" t="str">
        <f>IF($N86="","",MAX(0,MIN($O86,moc_loi_den)-MAX($N86,moc_loi_tu)))</f>
        <v/>
      </c>
      <c r="R86" s="17" t="str">
        <f t="shared" si="5"/>
        <v/>
      </c>
      <c r="S86" s="4" t="str">
        <f t="shared" si="6"/>
        <v/>
      </c>
      <c r="T86" s="6">
        <f>IF($N86="",0,($P86*rate_gio_bien+$Q86*rate_gio_loi)*IF($G86="Lễ",he_so_le,1))</f>
        <v>0</v>
      </c>
      <c r="U86" s="6">
        <f>IF($N86="",0,IF($S86="Blaze",bca_blaze,IF($S86="Spark",bca_spark,0))*IF($G86="Lễ",he_so_le,1))</f>
        <v>0</v>
      </c>
      <c r="V86" s="24">
        <f t="shared" si="7"/>
        <v>0</v>
      </c>
      <c r="W86" s="24">
        <f>IF(OR($F86&lt;&gt;"OPS",$H86=""),0,ROUND(IF(AND($H86&gt;=TIME(6,0,0),$H86&lt;TIME(8,0,0)),ops_0600_0800,IF(AND($H86&gt;=TIME(8,0,0),$H86&lt;TIME(18,0,0)),ops_0800_1800,IF(AND($H86&gt;=TIME(18,0,0),$H86&lt;TIME(22,0,0)),ops_1800_2200,IF(OR($H86&gt;=TIME(22,0,0),$H86&lt;TIME(1,0,0)),ops_2200_0100,IF(AND($H86&gt;=TIME(1,0,0),$H86&lt;TIME(6,0,0)),ops_0100_0600,0)))))+IF($G86="Lễ",ops_phu_troi_le,0),0))</f>
        <v>0</v>
      </c>
      <c r="X86" s="16">
        <f t="shared" si="8"/>
        <v>0</v>
      </c>
      <c r="Y86" s="6" t="str">
        <f>IF(OR($F86&lt;&gt;"OPS",$K86=""),"",IF($K86&lt;=ops_kg_1nguoi,1,ops_nguoi_toi_da))</f>
        <v/>
      </c>
      <c r="Z86" s="15" t="str">
        <f t="shared" si="9"/>
        <v/>
      </c>
      <c r="AA86" s="5"/>
    </row>
    <row r="87" spans="2:27">
      <c r="B87" s="6" t="str">
        <f>IF($D87="","",82)</f>
        <v/>
      </c>
      <c r="C87" s="19"/>
      <c r="D87" s="20"/>
      <c r="E87" s="15" t="str">
        <f>IFERROR(VLOOKUP(D87,Assumption!$B$69:$C$80,2,0),"")</f>
        <v/>
      </c>
      <c r="F87" s="20"/>
      <c r="G87" s="20"/>
      <c r="H87" s="21"/>
      <c r="I87" s="21"/>
      <c r="J87" s="5"/>
      <c r="K87" s="22"/>
      <c r="L87" s="22"/>
      <c r="M87" s="20"/>
      <c r="N87" s="23" t="str">
        <f>IF(OR($F87&lt;&gt;"TRUC_DEM",$H87=""),"",(HOUR($H87)+MINUTE($H87)/60)+IF((HOUR($H87)+MINUTE($H87)/60)&lt;moc_chia_ngay,24,0))</f>
        <v/>
      </c>
      <c r="O87" s="23" t="str">
        <f>IF(OR($F87&lt;&gt;"TRUC_DEM",$I87=""),"",(HOUR($I87)+MINUTE($I87)/60)+IF((HOUR($I87)+MINUTE($I87)/60)&lt;moc_chia_ngay,24,0))</f>
        <v/>
      </c>
      <c r="P87" s="17" t="str">
        <f>IF($N87="","",MAX(0,MIN($O87,moc_loi_tu)-MAX($N87,moc_dem_tu))+MAX(0,MIN($O87,moc_dem_den)-MAX($N87,moc_loi_den)))</f>
        <v/>
      </c>
      <c r="Q87" s="17" t="str">
        <f>IF($N87="","",MAX(0,MIN($O87,moc_loi_den)-MAX($N87,moc_loi_tu)))</f>
        <v/>
      </c>
      <c r="R87" s="17" t="str">
        <f t="shared" si="5"/>
        <v/>
      </c>
      <c r="S87" s="4" t="str">
        <f t="shared" si="6"/>
        <v/>
      </c>
      <c r="T87" s="6">
        <f>IF($N87="",0,($P87*rate_gio_bien+$Q87*rate_gio_loi)*IF($G87="Lễ",he_so_le,1))</f>
        <v>0</v>
      </c>
      <c r="U87" s="6">
        <f>IF($N87="",0,IF($S87="Blaze",bca_blaze,IF($S87="Spark",bca_spark,0))*IF($G87="Lễ",he_so_le,1))</f>
        <v>0</v>
      </c>
      <c r="V87" s="24">
        <f t="shared" si="7"/>
        <v>0</v>
      </c>
      <c r="W87" s="24">
        <f>IF(OR($F87&lt;&gt;"OPS",$H87=""),0,ROUND(IF(AND($H87&gt;=TIME(6,0,0),$H87&lt;TIME(8,0,0)),ops_0600_0800,IF(AND($H87&gt;=TIME(8,0,0),$H87&lt;TIME(18,0,0)),ops_0800_1800,IF(AND($H87&gt;=TIME(18,0,0),$H87&lt;TIME(22,0,0)),ops_1800_2200,IF(OR($H87&gt;=TIME(22,0,0),$H87&lt;TIME(1,0,0)),ops_2200_0100,IF(AND($H87&gt;=TIME(1,0,0),$H87&lt;TIME(6,0,0)),ops_0100_0600,0)))))+IF($G87="Lễ",ops_phu_troi_le,0),0))</f>
        <v>0</v>
      </c>
      <c r="X87" s="16">
        <f t="shared" si="8"/>
        <v>0</v>
      </c>
      <c r="Y87" s="6" t="str">
        <f>IF(OR($F87&lt;&gt;"OPS",$K87=""),"",IF($K87&lt;=ops_kg_1nguoi,1,ops_nguoi_toi_da))</f>
        <v/>
      </c>
      <c r="Z87" s="15" t="str">
        <f t="shared" si="9"/>
        <v/>
      </c>
      <c r="AA87" s="5"/>
    </row>
    <row r="88" spans="2:27">
      <c r="B88" s="6" t="str">
        <f>IF($D88="","",83)</f>
        <v/>
      </c>
      <c r="C88" s="19"/>
      <c r="D88" s="20"/>
      <c r="E88" s="15" t="str">
        <f>IFERROR(VLOOKUP(D88,Assumption!$B$69:$C$80,2,0),"")</f>
        <v/>
      </c>
      <c r="F88" s="20"/>
      <c r="G88" s="20"/>
      <c r="H88" s="21"/>
      <c r="I88" s="21"/>
      <c r="J88" s="5"/>
      <c r="K88" s="22"/>
      <c r="L88" s="22"/>
      <c r="M88" s="20"/>
      <c r="N88" s="23" t="str">
        <f>IF(OR($F88&lt;&gt;"TRUC_DEM",$H88=""),"",(HOUR($H88)+MINUTE($H88)/60)+IF((HOUR($H88)+MINUTE($H88)/60)&lt;moc_chia_ngay,24,0))</f>
        <v/>
      </c>
      <c r="O88" s="23" t="str">
        <f>IF(OR($F88&lt;&gt;"TRUC_DEM",$I88=""),"",(HOUR($I88)+MINUTE($I88)/60)+IF((HOUR($I88)+MINUTE($I88)/60)&lt;moc_chia_ngay,24,0))</f>
        <v/>
      </c>
      <c r="P88" s="17" t="str">
        <f>IF($N88="","",MAX(0,MIN($O88,moc_loi_tu)-MAX($N88,moc_dem_tu))+MAX(0,MIN($O88,moc_dem_den)-MAX($N88,moc_loi_den)))</f>
        <v/>
      </c>
      <c r="Q88" s="17" t="str">
        <f>IF($N88="","",MAX(0,MIN($O88,moc_loi_den)-MAX($N88,moc_loi_tu)))</f>
        <v/>
      </c>
      <c r="R88" s="17" t="str">
        <f t="shared" si="5"/>
        <v/>
      </c>
      <c r="S88" s="4" t="str">
        <f t="shared" si="6"/>
        <v/>
      </c>
      <c r="T88" s="6">
        <f>IF($N88="",0,($P88*rate_gio_bien+$Q88*rate_gio_loi)*IF($G88="Lễ",he_so_le,1))</f>
        <v>0</v>
      </c>
      <c r="U88" s="6">
        <f>IF($N88="",0,IF($S88="Blaze",bca_blaze,IF($S88="Spark",bca_spark,0))*IF($G88="Lễ",he_so_le,1))</f>
        <v>0</v>
      </c>
      <c r="V88" s="24">
        <f t="shared" si="7"/>
        <v>0</v>
      </c>
      <c r="W88" s="24">
        <f>IF(OR($F88&lt;&gt;"OPS",$H88=""),0,ROUND(IF(AND($H88&gt;=TIME(6,0,0),$H88&lt;TIME(8,0,0)),ops_0600_0800,IF(AND($H88&gt;=TIME(8,0,0),$H88&lt;TIME(18,0,0)),ops_0800_1800,IF(AND($H88&gt;=TIME(18,0,0),$H88&lt;TIME(22,0,0)),ops_1800_2200,IF(OR($H88&gt;=TIME(22,0,0),$H88&lt;TIME(1,0,0)),ops_2200_0100,IF(AND($H88&gt;=TIME(1,0,0),$H88&lt;TIME(6,0,0)),ops_0100_0600,0)))))+IF($G88="Lễ",ops_phu_troi_le,0),0))</f>
        <v>0</v>
      </c>
      <c r="X88" s="16">
        <f t="shared" si="8"/>
        <v>0</v>
      </c>
      <c r="Y88" s="6" t="str">
        <f>IF(OR($F88&lt;&gt;"OPS",$K88=""),"",IF($K88&lt;=ops_kg_1nguoi,1,ops_nguoi_toi_da))</f>
        <v/>
      </c>
      <c r="Z88" s="15" t="str">
        <f t="shared" si="9"/>
        <v/>
      </c>
      <c r="AA88" s="5"/>
    </row>
    <row r="89" spans="2:27">
      <c r="B89" s="6" t="str">
        <f>IF($D89="","",84)</f>
        <v/>
      </c>
      <c r="C89" s="19"/>
      <c r="D89" s="20"/>
      <c r="E89" s="15" t="str">
        <f>IFERROR(VLOOKUP(D89,Assumption!$B$69:$C$80,2,0),"")</f>
        <v/>
      </c>
      <c r="F89" s="20"/>
      <c r="G89" s="20"/>
      <c r="H89" s="21"/>
      <c r="I89" s="21"/>
      <c r="J89" s="5"/>
      <c r="K89" s="22"/>
      <c r="L89" s="22"/>
      <c r="M89" s="20"/>
      <c r="N89" s="23" t="str">
        <f>IF(OR($F89&lt;&gt;"TRUC_DEM",$H89=""),"",(HOUR($H89)+MINUTE($H89)/60)+IF((HOUR($H89)+MINUTE($H89)/60)&lt;moc_chia_ngay,24,0))</f>
        <v/>
      </c>
      <c r="O89" s="23" t="str">
        <f>IF(OR($F89&lt;&gt;"TRUC_DEM",$I89=""),"",(HOUR($I89)+MINUTE($I89)/60)+IF((HOUR($I89)+MINUTE($I89)/60)&lt;moc_chia_ngay,24,0))</f>
        <v/>
      </c>
      <c r="P89" s="17" t="str">
        <f>IF($N89="","",MAX(0,MIN($O89,moc_loi_tu)-MAX($N89,moc_dem_tu))+MAX(0,MIN($O89,moc_dem_den)-MAX($N89,moc_loi_den)))</f>
        <v/>
      </c>
      <c r="Q89" s="17" t="str">
        <f>IF($N89="","",MAX(0,MIN($O89,moc_loi_den)-MAX($N89,moc_loi_tu)))</f>
        <v/>
      </c>
      <c r="R89" s="17" t="str">
        <f t="shared" si="5"/>
        <v/>
      </c>
      <c r="S89" s="4" t="str">
        <f t="shared" si="6"/>
        <v/>
      </c>
      <c r="T89" s="6">
        <f>IF($N89="",0,($P89*rate_gio_bien+$Q89*rate_gio_loi)*IF($G89="Lễ",he_so_le,1))</f>
        <v>0</v>
      </c>
      <c r="U89" s="6">
        <f>IF($N89="",0,IF($S89="Blaze",bca_blaze,IF($S89="Spark",bca_spark,0))*IF($G89="Lễ",he_so_le,1))</f>
        <v>0</v>
      </c>
      <c r="V89" s="24">
        <f t="shared" si="7"/>
        <v>0</v>
      </c>
      <c r="W89" s="24">
        <f>IF(OR($F89&lt;&gt;"OPS",$H89=""),0,ROUND(IF(AND($H89&gt;=TIME(6,0,0),$H89&lt;TIME(8,0,0)),ops_0600_0800,IF(AND($H89&gt;=TIME(8,0,0),$H89&lt;TIME(18,0,0)),ops_0800_1800,IF(AND($H89&gt;=TIME(18,0,0),$H89&lt;TIME(22,0,0)),ops_1800_2200,IF(OR($H89&gt;=TIME(22,0,0),$H89&lt;TIME(1,0,0)),ops_2200_0100,IF(AND($H89&gt;=TIME(1,0,0),$H89&lt;TIME(6,0,0)),ops_0100_0600,0)))))+IF($G89="Lễ",ops_phu_troi_le,0),0))</f>
        <v>0</v>
      </c>
      <c r="X89" s="16">
        <f t="shared" si="8"/>
        <v>0</v>
      </c>
      <c r="Y89" s="6" t="str">
        <f>IF(OR($F89&lt;&gt;"OPS",$K89=""),"",IF($K89&lt;=ops_kg_1nguoi,1,ops_nguoi_toi_da))</f>
        <v/>
      </c>
      <c r="Z89" s="15" t="str">
        <f t="shared" si="9"/>
        <v/>
      </c>
      <c r="AA89" s="5"/>
    </row>
    <row r="90" spans="2:27">
      <c r="B90" s="6" t="str">
        <f>IF($D90="","",85)</f>
        <v/>
      </c>
      <c r="C90" s="19"/>
      <c r="D90" s="20"/>
      <c r="E90" s="15" t="str">
        <f>IFERROR(VLOOKUP(D90,Assumption!$B$69:$C$80,2,0),"")</f>
        <v/>
      </c>
      <c r="F90" s="20"/>
      <c r="G90" s="20"/>
      <c r="H90" s="21"/>
      <c r="I90" s="21"/>
      <c r="J90" s="5"/>
      <c r="K90" s="22"/>
      <c r="L90" s="22"/>
      <c r="M90" s="20"/>
      <c r="N90" s="23" t="str">
        <f>IF(OR($F90&lt;&gt;"TRUC_DEM",$H90=""),"",(HOUR($H90)+MINUTE($H90)/60)+IF((HOUR($H90)+MINUTE($H90)/60)&lt;moc_chia_ngay,24,0))</f>
        <v/>
      </c>
      <c r="O90" s="23" t="str">
        <f>IF(OR($F90&lt;&gt;"TRUC_DEM",$I90=""),"",(HOUR($I90)+MINUTE($I90)/60)+IF((HOUR($I90)+MINUTE($I90)/60)&lt;moc_chia_ngay,24,0))</f>
        <v/>
      </c>
      <c r="P90" s="17" t="str">
        <f>IF($N90="","",MAX(0,MIN($O90,moc_loi_tu)-MAX($N90,moc_dem_tu))+MAX(0,MIN($O90,moc_dem_den)-MAX($N90,moc_loi_den)))</f>
        <v/>
      </c>
      <c r="Q90" s="17" t="str">
        <f>IF($N90="","",MAX(0,MIN($O90,moc_loi_den)-MAX($N90,moc_loi_tu)))</f>
        <v/>
      </c>
      <c r="R90" s="17" t="str">
        <f t="shared" si="5"/>
        <v/>
      </c>
      <c r="S90" s="4" t="str">
        <f t="shared" si="6"/>
        <v/>
      </c>
      <c r="T90" s="6">
        <f>IF($N90="",0,($P90*rate_gio_bien+$Q90*rate_gio_loi)*IF($G90="Lễ",he_so_le,1))</f>
        <v>0</v>
      </c>
      <c r="U90" s="6">
        <f>IF($N90="",0,IF($S90="Blaze",bca_blaze,IF($S90="Spark",bca_spark,0))*IF($G90="Lễ",he_so_le,1))</f>
        <v>0</v>
      </c>
      <c r="V90" s="24">
        <f t="shared" si="7"/>
        <v>0</v>
      </c>
      <c r="W90" s="24">
        <f>IF(OR($F90&lt;&gt;"OPS",$H90=""),0,ROUND(IF(AND($H90&gt;=TIME(6,0,0),$H90&lt;TIME(8,0,0)),ops_0600_0800,IF(AND($H90&gt;=TIME(8,0,0),$H90&lt;TIME(18,0,0)),ops_0800_1800,IF(AND($H90&gt;=TIME(18,0,0),$H90&lt;TIME(22,0,0)),ops_1800_2200,IF(OR($H90&gt;=TIME(22,0,0),$H90&lt;TIME(1,0,0)),ops_2200_0100,IF(AND($H90&gt;=TIME(1,0,0),$H90&lt;TIME(6,0,0)),ops_0100_0600,0)))))+IF($G90="Lễ",ops_phu_troi_le,0),0))</f>
        <v>0</v>
      </c>
      <c r="X90" s="16">
        <f t="shared" si="8"/>
        <v>0</v>
      </c>
      <c r="Y90" s="6" t="str">
        <f>IF(OR($F90&lt;&gt;"OPS",$K90=""),"",IF($K90&lt;=ops_kg_1nguoi,1,ops_nguoi_toi_da))</f>
        <v/>
      </c>
      <c r="Z90" s="15" t="str">
        <f t="shared" si="9"/>
        <v/>
      </c>
      <c r="AA90" s="5"/>
    </row>
    <row r="91" spans="2:27">
      <c r="B91" s="6" t="str">
        <f>IF($D91="","",86)</f>
        <v/>
      </c>
      <c r="C91" s="19"/>
      <c r="D91" s="20"/>
      <c r="E91" s="15" t="str">
        <f>IFERROR(VLOOKUP(D91,Assumption!$B$69:$C$80,2,0),"")</f>
        <v/>
      </c>
      <c r="F91" s="20"/>
      <c r="G91" s="20"/>
      <c r="H91" s="21"/>
      <c r="I91" s="21"/>
      <c r="J91" s="5"/>
      <c r="K91" s="22"/>
      <c r="L91" s="22"/>
      <c r="M91" s="20"/>
      <c r="N91" s="23" t="str">
        <f>IF(OR($F91&lt;&gt;"TRUC_DEM",$H91=""),"",(HOUR($H91)+MINUTE($H91)/60)+IF((HOUR($H91)+MINUTE($H91)/60)&lt;moc_chia_ngay,24,0))</f>
        <v/>
      </c>
      <c r="O91" s="23" t="str">
        <f>IF(OR($F91&lt;&gt;"TRUC_DEM",$I91=""),"",(HOUR($I91)+MINUTE($I91)/60)+IF((HOUR($I91)+MINUTE($I91)/60)&lt;moc_chia_ngay,24,0))</f>
        <v/>
      </c>
      <c r="P91" s="17" t="str">
        <f>IF($N91="","",MAX(0,MIN($O91,moc_loi_tu)-MAX($N91,moc_dem_tu))+MAX(0,MIN($O91,moc_dem_den)-MAX($N91,moc_loi_den)))</f>
        <v/>
      </c>
      <c r="Q91" s="17" t="str">
        <f>IF($N91="","",MAX(0,MIN($O91,moc_loi_den)-MAX($N91,moc_loi_tu)))</f>
        <v/>
      </c>
      <c r="R91" s="17" t="str">
        <f t="shared" si="5"/>
        <v/>
      </c>
      <c r="S91" s="4" t="str">
        <f t="shared" si="6"/>
        <v/>
      </c>
      <c r="T91" s="6">
        <f>IF($N91="",0,($P91*rate_gio_bien+$Q91*rate_gio_loi)*IF($G91="Lễ",he_so_le,1))</f>
        <v>0</v>
      </c>
      <c r="U91" s="6">
        <f>IF($N91="",0,IF($S91="Blaze",bca_blaze,IF($S91="Spark",bca_spark,0))*IF($G91="Lễ",he_so_le,1))</f>
        <v>0</v>
      </c>
      <c r="V91" s="24">
        <f t="shared" si="7"/>
        <v>0</v>
      </c>
      <c r="W91" s="24">
        <f>IF(OR($F91&lt;&gt;"OPS",$H91=""),0,ROUND(IF(AND($H91&gt;=TIME(6,0,0),$H91&lt;TIME(8,0,0)),ops_0600_0800,IF(AND($H91&gt;=TIME(8,0,0),$H91&lt;TIME(18,0,0)),ops_0800_1800,IF(AND($H91&gt;=TIME(18,0,0),$H91&lt;TIME(22,0,0)),ops_1800_2200,IF(OR($H91&gt;=TIME(22,0,0),$H91&lt;TIME(1,0,0)),ops_2200_0100,IF(AND($H91&gt;=TIME(1,0,0),$H91&lt;TIME(6,0,0)),ops_0100_0600,0)))))+IF($G91="Lễ",ops_phu_troi_le,0),0))</f>
        <v>0</v>
      </c>
      <c r="X91" s="16">
        <f t="shared" si="8"/>
        <v>0</v>
      </c>
      <c r="Y91" s="6" t="str">
        <f>IF(OR($F91&lt;&gt;"OPS",$K91=""),"",IF($K91&lt;=ops_kg_1nguoi,1,ops_nguoi_toi_da))</f>
        <v/>
      </c>
      <c r="Z91" s="15" t="str">
        <f t="shared" si="9"/>
        <v/>
      </c>
      <c r="AA91" s="5"/>
    </row>
    <row r="92" spans="2:27">
      <c r="B92" s="6" t="str">
        <f>IF($D92="","",87)</f>
        <v/>
      </c>
      <c r="C92" s="19"/>
      <c r="D92" s="20"/>
      <c r="E92" s="15" t="str">
        <f>IFERROR(VLOOKUP(D92,Assumption!$B$69:$C$80,2,0),"")</f>
        <v/>
      </c>
      <c r="F92" s="20"/>
      <c r="G92" s="20"/>
      <c r="H92" s="21"/>
      <c r="I92" s="21"/>
      <c r="J92" s="5"/>
      <c r="K92" s="22"/>
      <c r="L92" s="22"/>
      <c r="M92" s="20"/>
      <c r="N92" s="23" t="str">
        <f>IF(OR($F92&lt;&gt;"TRUC_DEM",$H92=""),"",(HOUR($H92)+MINUTE($H92)/60)+IF((HOUR($H92)+MINUTE($H92)/60)&lt;moc_chia_ngay,24,0))</f>
        <v/>
      </c>
      <c r="O92" s="23" t="str">
        <f>IF(OR($F92&lt;&gt;"TRUC_DEM",$I92=""),"",(HOUR($I92)+MINUTE($I92)/60)+IF((HOUR($I92)+MINUTE($I92)/60)&lt;moc_chia_ngay,24,0))</f>
        <v/>
      </c>
      <c r="P92" s="17" t="str">
        <f>IF($N92="","",MAX(0,MIN($O92,moc_loi_tu)-MAX($N92,moc_dem_tu))+MAX(0,MIN($O92,moc_dem_den)-MAX($N92,moc_loi_den)))</f>
        <v/>
      </c>
      <c r="Q92" s="17" t="str">
        <f>IF($N92="","",MAX(0,MIN($O92,moc_loi_den)-MAX($N92,moc_loi_tu)))</f>
        <v/>
      </c>
      <c r="R92" s="17" t="str">
        <f t="shared" si="5"/>
        <v/>
      </c>
      <c r="S92" s="4" t="str">
        <f t="shared" si="6"/>
        <v/>
      </c>
      <c r="T92" s="6">
        <f>IF($N92="",0,($P92*rate_gio_bien+$Q92*rate_gio_loi)*IF($G92="Lễ",he_so_le,1))</f>
        <v>0</v>
      </c>
      <c r="U92" s="6">
        <f>IF($N92="",0,IF($S92="Blaze",bca_blaze,IF($S92="Spark",bca_spark,0))*IF($G92="Lễ",he_so_le,1))</f>
        <v>0</v>
      </c>
      <c r="V92" s="24">
        <f t="shared" si="7"/>
        <v>0</v>
      </c>
      <c r="W92" s="24">
        <f>IF(OR($F92&lt;&gt;"OPS",$H92=""),0,ROUND(IF(AND($H92&gt;=TIME(6,0,0),$H92&lt;TIME(8,0,0)),ops_0600_0800,IF(AND($H92&gt;=TIME(8,0,0),$H92&lt;TIME(18,0,0)),ops_0800_1800,IF(AND($H92&gt;=TIME(18,0,0),$H92&lt;TIME(22,0,0)),ops_1800_2200,IF(OR($H92&gt;=TIME(22,0,0),$H92&lt;TIME(1,0,0)),ops_2200_0100,IF(AND($H92&gt;=TIME(1,0,0),$H92&lt;TIME(6,0,0)),ops_0100_0600,0)))))+IF($G92="Lễ",ops_phu_troi_le,0),0))</f>
        <v>0</v>
      </c>
      <c r="X92" s="16">
        <f t="shared" si="8"/>
        <v>0</v>
      </c>
      <c r="Y92" s="6" t="str">
        <f>IF(OR($F92&lt;&gt;"OPS",$K92=""),"",IF($K92&lt;=ops_kg_1nguoi,1,ops_nguoi_toi_da))</f>
        <v/>
      </c>
      <c r="Z92" s="15" t="str">
        <f t="shared" si="9"/>
        <v/>
      </c>
      <c r="AA92" s="5"/>
    </row>
    <row r="93" spans="2:27">
      <c r="B93" s="6" t="str">
        <f>IF($D93="","",88)</f>
        <v/>
      </c>
      <c r="C93" s="19"/>
      <c r="D93" s="20"/>
      <c r="E93" s="15" t="str">
        <f>IFERROR(VLOOKUP(D93,Assumption!$B$69:$C$80,2,0),"")</f>
        <v/>
      </c>
      <c r="F93" s="20"/>
      <c r="G93" s="20"/>
      <c r="H93" s="21"/>
      <c r="I93" s="21"/>
      <c r="J93" s="5"/>
      <c r="K93" s="22"/>
      <c r="L93" s="22"/>
      <c r="M93" s="20"/>
      <c r="N93" s="23" t="str">
        <f>IF(OR($F93&lt;&gt;"TRUC_DEM",$H93=""),"",(HOUR($H93)+MINUTE($H93)/60)+IF((HOUR($H93)+MINUTE($H93)/60)&lt;moc_chia_ngay,24,0))</f>
        <v/>
      </c>
      <c r="O93" s="23" t="str">
        <f>IF(OR($F93&lt;&gt;"TRUC_DEM",$I93=""),"",(HOUR($I93)+MINUTE($I93)/60)+IF((HOUR($I93)+MINUTE($I93)/60)&lt;moc_chia_ngay,24,0))</f>
        <v/>
      </c>
      <c r="P93" s="17" t="str">
        <f>IF($N93="","",MAX(0,MIN($O93,moc_loi_tu)-MAX($N93,moc_dem_tu))+MAX(0,MIN($O93,moc_dem_den)-MAX($N93,moc_loi_den)))</f>
        <v/>
      </c>
      <c r="Q93" s="17" t="str">
        <f>IF($N93="","",MAX(0,MIN($O93,moc_loi_den)-MAX($N93,moc_loi_tu)))</f>
        <v/>
      </c>
      <c r="R93" s="17" t="str">
        <f t="shared" si="5"/>
        <v/>
      </c>
      <c r="S93" s="4" t="str">
        <f t="shared" si="6"/>
        <v/>
      </c>
      <c r="T93" s="6">
        <f>IF($N93="",0,($P93*rate_gio_bien+$Q93*rate_gio_loi)*IF($G93="Lễ",he_so_le,1))</f>
        <v>0</v>
      </c>
      <c r="U93" s="6">
        <f>IF($N93="",0,IF($S93="Blaze",bca_blaze,IF($S93="Spark",bca_spark,0))*IF($G93="Lễ",he_so_le,1))</f>
        <v>0</v>
      </c>
      <c r="V93" s="24">
        <f t="shared" si="7"/>
        <v>0</v>
      </c>
      <c r="W93" s="24">
        <f>IF(OR($F93&lt;&gt;"OPS",$H93=""),0,ROUND(IF(AND($H93&gt;=TIME(6,0,0),$H93&lt;TIME(8,0,0)),ops_0600_0800,IF(AND($H93&gt;=TIME(8,0,0),$H93&lt;TIME(18,0,0)),ops_0800_1800,IF(AND($H93&gt;=TIME(18,0,0),$H93&lt;TIME(22,0,0)),ops_1800_2200,IF(OR($H93&gt;=TIME(22,0,0),$H93&lt;TIME(1,0,0)),ops_2200_0100,IF(AND($H93&gt;=TIME(1,0,0),$H93&lt;TIME(6,0,0)),ops_0100_0600,0)))))+IF($G93="Lễ",ops_phu_troi_le,0),0))</f>
        <v>0</v>
      </c>
      <c r="X93" s="16">
        <f t="shared" si="8"/>
        <v>0</v>
      </c>
      <c r="Y93" s="6" t="str">
        <f>IF(OR($F93&lt;&gt;"OPS",$K93=""),"",IF($K93&lt;=ops_kg_1nguoi,1,ops_nguoi_toi_da))</f>
        <v/>
      </c>
      <c r="Z93" s="15" t="str">
        <f t="shared" si="9"/>
        <v/>
      </c>
      <c r="AA93" s="5"/>
    </row>
    <row r="94" spans="2:27">
      <c r="B94" s="6" t="str">
        <f>IF($D94="","",89)</f>
        <v/>
      </c>
      <c r="C94" s="19"/>
      <c r="D94" s="20"/>
      <c r="E94" s="15" t="str">
        <f>IFERROR(VLOOKUP(D94,Assumption!$B$69:$C$80,2,0),"")</f>
        <v/>
      </c>
      <c r="F94" s="20"/>
      <c r="G94" s="20"/>
      <c r="H94" s="21"/>
      <c r="I94" s="21"/>
      <c r="J94" s="5"/>
      <c r="K94" s="22"/>
      <c r="L94" s="22"/>
      <c r="M94" s="20"/>
      <c r="N94" s="23" t="str">
        <f>IF(OR($F94&lt;&gt;"TRUC_DEM",$H94=""),"",(HOUR($H94)+MINUTE($H94)/60)+IF((HOUR($H94)+MINUTE($H94)/60)&lt;moc_chia_ngay,24,0))</f>
        <v/>
      </c>
      <c r="O94" s="23" t="str">
        <f>IF(OR($F94&lt;&gt;"TRUC_DEM",$I94=""),"",(HOUR($I94)+MINUTE($I94)/60)+IF((HOUR($I94)+MINUTE($I94)/60)&lt;moc_chia_ngay,24,0))</f>
        <v/>
      </c>
      <c r="P94" s="17" t="str">
        <f>IF($N94="","",MAX(0,MIN($O94,moc_loi_tu)-MAX($N94,moc_dem_tu))+MAX(0,MIN($O94,moc_dem_den)-MAX($N94,moc_loi_den)))</f>
        <v/>
      </c>
      <c r="Q94" s="17" t="str">
        <f>IF($N94="","",MAX(0,MIN($O94,moc_loi_den)-MAX($N94,moc_loi_tu)))</f>
        <v/>
      </c>
      <c r="R94" s="17" t="str">
        <f t="shared" si="5"/>
        <v/>
      </c>
      <c r="S94" s="4" t="str">
        <f t="shared" si="6"/>
        <v/>
      </c>
      <c r="T94" s="6">
        <f>IF($N94="",0,($P94*rate_gio_bien+$Q94*rate_gio_loi)*IF($G94="Lễ",he_so_le,1))</f>
        <v>0</v>
      </c>
      <c r="U94" s="6">
        <f>IF($N94="",0,IF($S94="Blaze",bca_blaze,IF($S94="Spark",bca_spark,0))*IF($G94="Lễ",he_so_le,1))</f>
        <v>0</v>
      </c>
      <c r="V94" s="24">
        <f t="shared" si="7"/>
        <v>0</v>
      </c>
      <c r="W94" s="24">
        <f>IF(OR($F94&lt;&gt;"OPS",$H94=""),0,ROUND(IF(AND($H94&gt;=TIME(6,0,0),$H94&lt;TIME(8,0,0)),ops_0600_0800,IF(AND($H94&gt;=TIME(8,0,0),$H94&lt;TIME(18,0,0)),ops_0800_1800,IF(AND($H94&gt;=TIME(18,0,0),$H94&lt;TIME(22,0,0)),ops_1800_2200,IF(OR($H94&gt;=TIME(22,0,0),$H94&lt;TIME(1,0,0)),ops_2200_0100,IF(AND($H94&gt;=TIME(1,0,0),$H94&lt;TIME(6,0,0)),ops_0100_0600,0)))))+IF($G94="Lễ",ops_phu_troi_le,0),0))</f>
        <v>0</v>
      </c>
      <c r="X94" s="16">
        <f t="shared" si="8"/>
        <v>0</v>
      </c>
      <c r="Y94" s="6" t="str">
        <f>IF(OR($F94&lt;&gt;"OPS",$K94=""),"",IF($K94&lt;=ops_kg_1nguoi,1,ops_nguoi_toi_da))</f>
        <v/>
      </c>
      <c r="Z94" s="15" t="str">
        <f t="shared" si="9"/>
        <v/>
      </c>
      <c r="AA94" s="5"/>
    </row>
    <row r="95" spans="2:27">
      <c r="B95" s="6" t="str">
        <f>IF($D95="","",90)</f>
        <v/>
      </c>
      <c r="C95" s="19"/>
      <c r="D95" s="20"/>
      <c r="E95" s="15" t="str">
        <f>IFERROR(VLOOKUP(D95,Assumption!$B$69:$C$80,2,0),"")</f>
        <v/>
      </c>
      <c r="F95" s="20"/>
      <c r="G95" s="20"/>
      <c r="H95" s="21"/>
      <c r="I95" s="21"/>
      <c r="J95" s="5"/>
      <c r="K95" s="22"/>
      <c r="L95" s="22"/>
      <c r="M95" s="20"/>
      <c r="N95" s="23" t="str">
        <f>IF(OR($F95&lt;&gt;"TRUC_DEM",$H95=""),"",(HOUR($H95)+MINUTE($H95)/60)+IF((HOUR($H95)+MINUTE($H95)/60)&lt;moc_chia_ngay,24,0))</f>
        <v/>
      </c>
      <c r="O95" s="23" t="str">
        <f>IF(OR($F95&lt;&gt;"TRUC_DEM",$I95=""),"",(HOUR($I95)+MINUTE($I95)/60)+IF((HOUR($I95)+MINUTE($I95)/60)&lt;moc_chia_ngay,24,0))</f>
        <v/>
      </c>
      <c r="P95" s="17" t="str">
        <f>IF($N95="","",MAX(0,MIN($O95,moc_loi_tu)-MAX($N95,moc_dem_tu))+MAX(0,MIN($O95,moc_dem_den)-MAX($N95,moc_loi_den)))</f>
        <v/>
      </c>
      <c r="Q95" s="17" t="str">
        <f>IF($N95="","",MAX(0,MIN($O95,moc_loi_den)-MAX($N95,moc_loi_tu)))</f>
        <v/>
      </c>
      <c r="R95" s="17" t="str">
        <f t="shared" si="5"/>
        <v/>
      </c>
      <c r="S95" s="4" t="str">
        <f t="shared" si="6"/>
        <v/>
      </c>
      <c r="T95" s="6">
        <f>IF($N95="",0,($P95*rate_gio_bien+$Q95*rate_gio_loi)*IF($G95="Lễ",he_so_le,1))</f>
        <v>0</v>
      </c>
      <c r="U95" s="6">
        <f>IF($N95="",0,IF($S95="Blaze",bca_blaze,IF($S95="Spark",bca_spark,0))*IF($G95="Lễ",he_so_le,1))</f>
        <v>0</v>
      </c>
      <c r="V95" s="24">
        <f t="shared" si="7"/>
        <v>0</v>
      </c>
      <c r="W95" s="24">
        <f>IF(OR($F95&lt;&gt;"OPS",$H95=""),0,ROUND(IF(AND($H95&gt;=TIME(6,0,0),$H95&lt;TIME(8,0,0)),ops_0600_0800,IF(AND($H95&gt;=TIME(8,0,0),$H95&lt;TIME(18,0,0)),ops_0800_1800,IF(AND($H95&gt;=TIME(18,0,0),$H95&lt;TIME(22,0,0)),ops_1800_2200,IF(OR($H95&gt;=TIME(22,0,0),$H95&lt;TIME(1,0,0)),ops_2200_0100,IF(AND($H95&gt;=TIME(1,0,0),$H95&lt;TIME(6,0,0)),ops_0100_0600,0)))))+IF($G95="Lễ",ops_phu_troi_le,0),0))</f>
        <v>0</v>
      </c>
      <c r="X95" s="16">
        <f t="shared" si="8"/>
        <v>0</v>
      </c>
      <c r="Y95" s="6" t="str">
        <f>IF(OR($F95&lt;&gt;"OPS",$K95=""),"",IF($K95&lt;=ops_kg_1nguoi,1,ops_nguoi_toi_da))</f>
        <v/>
      </c>
      <c r="Z95" s="15" t="str">
        <f t="shared" si="9"/>
        <v/>
      </c>
      <c r="AA95" s="5"/>
    </row>
    <row r="96" spans="2:27">
      <c r="B96" s="6" t="str">
        <f>IF($D96="","",91)</f>
        <v/>
      </c>
      <c r="C96" s="19"/>
      <c r="D96" s="20"/>
      <c r="E96" s="15" t="str">
        <f>IFERROR(VLOOKUP(D96,Assumption!$B$69:$C$80,2,0),"")</f>
        <v/>
      </c>
      <c r="F96" s="20"/>
      <c r="G96" s="20"/>
      <c r="H96" s="21"/>
      <c r="I96" s="21"/>
      <c r="J96" s="5"/>
      <c r="K96" s="22"/>
      <c r="L96" s="22"/>
      <c r="M96" s="20"/>
      <c r="N96" s="23" t="str">
        <f>IF(OR($F96&lt;&gt;"TRUC_DEM",$H96=""),"",(HOUR($H96)+MINUTE($H96)/60)+IF((HOUR($H96)+MINUTE($H96)/60)&lt;moc_chia_ngay,24,0))</f>
        <v/>
      </c>
      <c r="O96" s="23" t="str">
        <f>IF(OR($F96&lt;&gt;"TRUC_DEM",$I96=""),"",(HOUR($I96)+MINUTE($I96)/60)+IF((HOUR($I96)+MINUTE($I96)/60)&lt;moc_chia_ngay,24,0))</f>
        <v/>
      </c>
      <c r="P96" s="17" t="str">
        <f>IF($N96="","",MAX(0,MIN($O96,moc_loi_tu)-MAX($N96,moc_dem_tu))+MAX(0,MIN($O96,moc_dem_den)-MAX($N96,moc_loi_den)))</f>
        <v/>
      </c>
      <c r="Q96" s="17" t="str">
        <f>IF($N96="","",MAX(0,MIN($O96,moc_loi_den)-MAX($N96,moc_loi_tu)))</f>
        <v/>
      </c>
      <c r="R96" s="17" t="str">
        <f t="shared" si="5"/>
        <v/>
      </c>
      <c r="S96" s="4" t="str">
        <f t="shared" si="6"/>
        <v/>
      </c>
      <c r="T96" s="6">
        <f>IF($N96="",0,($P96*rate_gio_bien+$Q96*rate_gio_loi)*IF($G96="Lễ",he_so_le,1))</f>
        <v>0</v>
      </c>
      <c r="U96" s="6">
        <f>IF($N96="",0,IF($S96="Blaze",bca_blaze,IF($S96="Spark",bca_spark,0))*IF($G96="Lễ",he_so_le,1))</f>
        <v>0</v>
      </c>
      <c r="V96" s="24">
        <f t="shared" si="7"/>
        <v>0</v>
      </c>
      <c r="W96" s="24">
        <f>IF(OR($F96&lt;&gt;"OPS",$H96=""),0,ROUND(IF(AND($H96&gt;=TIME(6,0,0),$H96&lt;TIME(8,0,0)),ops_0600_0800,IF(AND($H96&gt;=TIME(8,0,0),$H96&lt;TIME(18,0,0)),ops_0800_1800,IF(AND($H96&gt;=TIME(18,0,0),$H96&lt;TIME(22,0,0)),ops_1800_2200,IF(OR($H96&gt;=TIME(22,0,0),$H96&lt;TIME(1,0,0)),ops_2200_0100,IF(AND($H96&gt;=TIME(1,0,0),$H96&lt;TIME(6,0,0)),ops_0100_0600,0)))))+IF($G96="Lễ",ops_phu_troi_le,0),0))</f>
        <v>0</v>
      </c>
      <c r="X96" s="16">
        <f t="shared" si="8"/>
        <v>0</v>
      </c>
      <c r="Y96" s="6" t="str">
        <f>IF(OR($F96&lt;&gt;"OPS",$K96=""),"",IF($K96&lt;=ops_kg_1nguoi,1,ops_nguoi_toi_da))</f>
        <v/>
      </c>
      <c r="Z96" s="15" t="str">
        <f t="shared" si="9"/>
        <v/>
      </c>
      <c r="AA96" s="5"/>
    </row>
    <row r="97" spans="2:27">
      <c r="B97" s="6" t="str">
        <f>IF($D97="","",92)</f>
        <v/>
      </c>
      <c r="C97" s="19"/>
      <c r="D97" s="20"/>
      <c r="E97" s="15" t="str">
        <f>IFERROR(VLOOKUP(D97,Assumption!$B$69:$C$80,2,0),"")</f>
        <v/>
      </c>
      <c r="F97" s="20"/>
      <c r="G97" s="20"/>
      <c r="H97" s="21"/>
      <c r="I97" s="21"/>
      <c r="J97" s="5"/>
      <c r="K97" s="22"/>
      <c r="L97" s="22"/>
      <c r="M97" s="20"/>
      <c r="N97" s="23" t="str">
        <f>IF(OR($F97&lt;&gt;"TRUC_DEM",$H97=""),"",(HOUR($H97)+MINUTE($H97)/60)+IF((HOUR($H97)+MINUTE($H97)/60)&lt;moc_chia_ngay,24,0))</f>
        <v/>
      </c>
      <c r="O97" s="23" t="str">
        <f>IF(OR($F97&lt;&gt;"TRUC_DEM",$I97=""),"",(HOUR($I97)+MINUTE($I97)/60)+IF((HOUR($I97)+MINUTE($I97)/60)&lt;moc_chia_ngay,24,0))</f>
        <v/>
      </c>
      <c r="P97" s="17" t="str">
        <f>IF($N97="","",MAX(0,MIN($O97,moc_loi_tu)-MAX($N97,moc_dem_tu))+MAX(0,MIN($O97,moc_dem_den)-MAX($N97,moc_loi_den)))</f>
        <v/>
      </c>
      <c r="Q97" s="17" t="str">
        <f>IF($N97="","",MAX(0,MIN($O97,moc_loi_den)-MAX($N97,moc_loi_tu)))</f>
        <v/>
      </c>
      <c r="R97" s="17" t="str">
        <f t="shared" si="5"/>
        <v/>
      </c>
      <c r="S97" s="4" t="str">
        <f t="shared" si="6"/>
        <v/>
      </c>
      <c r="T97" s="6">
        <f>IF($N97="",0,($P97*rate_gio_bien+$Q97*rate_gio_loi)*IF($G97="Lễ",he_so_le,1))</f>
        <v>0</v>
      </c>
      <c r="U97" s="6">
        <f>IF($N97="",0,IF($S97="Blaze",bca_blaze,IF($S97="Spark",bca_spark,0))*IF($G97="Lễ",he_so_le,1))</f>
        <v>0</v>
      </c>
      <c r="V97" s="24">
        <f t="shared" si="7"/>
        <v>0</v>
      </c>
      <c r="W97" s="24">
        <f>IF(OR($F97&lt;&gt;"OPS",$H97=""),0,ROUND(IF(AND($H97&gt;=TIME(6,0,0),$H97&lt;TIME(8,0,0)),ops_0600_0800,IF(AND($H97&gt;=TIME(8,0,0),$H97&lt;TIME(18,0,0)),ops_0800_1800,IF(AND($H97&gt;=TIME(18,0,0),$H97&lt;TIME(22,0,0)),ops_1800_2200,IF(OR($H97&gt;=TIME(22,0,0),$H97&lt;TIME(1,0,0)),ops_2200_0100,IF(AND($H97&gt;=TIME(1,0,0),$H97&lt;TIME(6,0,0)),ops_0100_0600,0)))))+IF($G97="Lễ",ops_phu_troi_le,0),0))</f>
        <v>0</v>
      </c>
      <c r="X97" s="16">
        <f t="shared" si="8"/>
        <v>0</v>
      </c>
      <c r="Y97" s="6" t="str">
        <f>IF(OR($F97&lt;&gt;"OPS",$K97=""),"",IF($K97&lt;=ops_kg_1nguoi,1,ops_nguoi_toi_da))</f>
        <v/>
      </c>
      <c r="Z97" s="15" t="str">
        <f t="shared" si="9"/>
        <v/>
      </c>
      <c r="AA97" s="5"/>
    </row>
    <row r="98" spans="2:27">
      <c r="B98" s="6" t="str">
        <f>IF($D98="","",93)</f>
        <v/>
      </c>
      <c r="C98" s="19"/>
      <c r="D98" s="20"/>
      <c r="E98" s="15" t="str">
        <f>IFERROR(VLOOKUP(D98,Assumption!$B$69:$C$80,2,0),"")</f>
        <v/>
      </c>
      <c r="F98" s="20"/>
      <c r="G98" s="20"/>
      <c r="H98" s="21"/>
      <c r="I98" s="21"/>
      <c r="J98" s="5"/>
      <c r="K98" s="22"/>
      <c r="L98" s="22"/>
      <c r="M98" s="20"/>
      <c r="N98" s="23" t="str">
        <f>IF(OR($F98&lt;&gt;"TRUC_DEM",$H98=""),"",(HOUR($H98)+MINUTE($H98)/60)+IF((HOUR($H98)+MINUTE($H98)/60)&lt;moc_chia_ngay,24,0))</f>
        <v/>
      </c>
      <c r="O98" s="23" t="str">
        <f>IF(OR($F98&lt;&gt;"TRUC_DEM",$I98=""),"",(HOUR($I98)+MINUTE($I98)/60)+IF((HOUR($I98)+MINUTE($I98)/60)&lt;moc_chia_ngay,24,0))</f>
        <v/>
      </c>
      <c r="P98" s="17" t="str">
        <f>IF($N98="","",MAX(0,MIN($O98,moc_loi_tu)-MAX($N98,moc_dem_tu))+MAX(0,MIN($O98,moc_dem_den)-MAX($N98,moc_loi_den)))</f>
        <v/>
      </c>
      <c r="Q98" s="17" t="str">
        <f>IF($N98="","",MAX(0,MIN($O98,moc_loi_den)-MAX($N98,moc_loi_tu)))</f>
        <v/>
      </c>
      <c r="R98" s="17" t="str">
        <f t="shared" si="5"/>
        <v/>
      </c>
      <c r="S98" s="4" t="str">
        <f t="shared" si="6"/>
        <v/>
      </c>
      <c r="T98" s="6">
        <f>IF($N98="",0,($P98*rate_gio_bien+$Q98*rate_gio_loi)*IF($G98="Lễ",he_so_le,1))</f>
        <v>0</v>
      </c>
      <c r="U98" s="6">
        <f>IF($N98="",0,IF($S98="Blaze",bca_blaze,IF($S98="Spark",bca_spark,0))*IF($G98="Lễ",he_so_le,1))</f>
        <v>0</v>
      </c>
      <c r="V98" s="24">
        <f t="shared" si="7"/>
        <v>0</v>
      </c>
      <c r="W98" s="24">
        <f>IF(OR($F98&lt;&gt;"OPS",$H98=""),0,ROUND(IF(AND($H98&gt;=TIME(6,0,0),$H98&lt;TIME(8,0,0)),ops_0600_0800,IF(AND($H98&gt;=TIME(8,0,0),$H98&lt;TIME(18,0,0)),ops_0800_1800,IF(AND($H98&gt;=TIME(18,0,0),$H98&lt;TIME(22,0,0)),ops_1800_2200,IF(OR($H98&gt;=TIME(22,0,0),$H98&lt;TIME(1,0,0)),ops_2200_0100,IF(AND($H98&gt;=TIME(1,0,0),$H98&lt;TIME(6,0,0)),ops_0100_0600,0)))))+IF($G98="Lễ",ops_phu_troi_le,0),0))</f>
        <v>0</v>
      </c>
      <c r="X98" s="16">
        <f t="shared" si="8"/>
        <v>0</v>
      </c>
      <c r="Y98" s="6" t="str">
        <f>IF(OR($F98&lt;&gt;"OPS",$K98=""),"",IF($K98&lt;=ops_kg_1nguoi,1,ops_nguoi_toi_da))</f>
        <v/>
      </c>
      <c r="Z98" s="15" t="str">
        <f t="shared" si="9"/>
        <v/>
      </c>
      <c r="AA98" s="5"/>
    </row>
    <row r="99" spans="2:27">
      <c r="B99" s="6" t="str">
        <f>IF($D99="","",94)</f>
        <v/>
      </c>
      <c r="C99" s="19"/>
      <c r="D99" s="20"/>
      <c r="E99" s="15" t="str">
        <f>IFERROR(VLOOKUP(D99,Assumption!$B$69:$C$80,2,0),"")</f>
        <v/>
      </c>
      <c r="F99" s="20"/>
      <c r="G99" s="20"/>
      <c r="H99" s="21"/>
      <c r="I99" s="21"/>
      <c r="J99" s="5"/>
      <c r="K99" s="22"/>
      <c r="L99" s="22"/>
      <c r="M99" s="20"/>
      <c r="N99" s="23" t="str">
        <f>IF(OR($F99&lt;&gt;"TRUC_DEM",$H99=""),"",(HOUR($H99)+MINUTE($H99)/60)+IF((HOUR($H99)+MINUTE($H99)/60)&lt;moc_chia_ngay,24,0))</f>
        <v/>
      </c>
      <c r="O99" s="23" t="str">
        <f>IF(OR($F99&lt;&gt;"TRUC_DEM",$I99=""),"",(HOUR($I99)+MINUTE($I99)/60)+IF((HOUR($I99)+MINUTE($I99)/60)&lt;moc_chia_ngay,24,0))</f>
        <v/>
      </c>
      <c r="P99" s="17" t="str">
        <f>IF($N99="","",MAX(0,MIN($O99,moc_loi_tu)-MAX($N99,moc_dem_tu))+MAX(0,MIN($O99,moc_dem_den)-MAX($N99,moc_loi_den)))</f>
        <v/>
      </c>
      <c r="Q99" s="17" t="str">
        <f>IF($N99="","",MAX(0,MIN($O99,moc_loi_den)-MAX($N99,moc_loi_tu)))</f>
        <v/>
      </c>
      <c r="R99" s="17" t="str">
        <f t="shared" si="5"/>
        <v/>
      </c>
      <c r="S99" s="4" t="str">
        <f t="shared" si="6"/>
        <v/>
      </c>
      <c r="T99" s="6">
        <f>IF($N99="",0,($P99*rate_gio_bien+$Q99*rate_gio_loi)*IF($G99="Lễ",he_so_le,1))</f>
        <v>0</v>
      </c>
      <c r="U99" s="6">
        <f>IF($N99="",0,IF($S99="Blaze",bca_blaze,IF($S99="Spark",bca_spark,0))*IF($G99="Lễ",he_so_le,1))</f>
        <v>0</v>
      </c>
      <c r="V99" s="24">
        <f t="shared" si="7"/>
        <v>0</v>
      </c>
      <c r="W99" s="24">
        <f>IF(OR($F99&lt;&gt;"OPS",$H99=""),0,ROUND(IF(AND($H99&gt;=TIME(6,0,0),$H99&lt;TIME(8,0,0)),ops_0600_0800,IF(AND($H99&gt;=TIME(8,0,0),$H99&lt;TIME(18,0,0)),ops_0800_1800,IF(AND($H99&gt;=TIME(18,0,0),$H99&lt;TIME(22,0,0)),ops_1800_2200,IF(OR($H99&gt;=TIME(22,0,0),$H99&lt;TIME(1,0,0)),ops_2200_0100,IF(AND($H99&gt;=TIME(1,0,0),$H99&lt;TIME(6,0,0)),ops_0100_0600,0)))))+IF($G99="Lễ",ops_phu_troi_le,0),0))</f>
        <v>0</v>
      </c>
      <c r="X99" s="16">
        <f t="shared" si="8"/>
        <v>0</v>
      </c>
      <c r="Y99" s="6" t="str">
        <f>IF(OR($F99&lt;&gt;"OPS",$K99=""),"",IF($K99&lt;=ops_kg_1nguoi,1,ops_nguoi_toi_da))</f>
        <v/>
      </c>
      <c r="Z99" s="15" t="str">
        <f t="shared" si="9"/>
        <v/>
      </c>
      <c r="AA99" s="5"/>
    </row>
    <row r="100" spans="2:27">
      <c r="B100" s="6" t="str">
        <f>IF($D100="","",95)</f>
        <v/>
      </c>
      <c r="C100" s="19"/>
      <c r="D100" s="20"/>
      <c r="E100" s="15" t="str">
        <f>IFERROR(VLOOKUP(D100,Assumption!$B$69:$C$80,2,0),"")</f>
        <v/>
      </c>
      <c r="F100" s="20"/>
      <c r="G100" s="20"/>
      <c r="H100" s="21"/>
      <c r="I100" s="21"/>
      <c r="J100" s="5"/>
      <c r="K100" s="22"/>
      <c r="L100" s="22"/>
      <c r="M100" s="20"/>
      <c r="N100" s="23" t="str">
        <f>IF(OR($F100&lt;&gt;"TRUC_DEM",$H100=""),"",(HOUR($H100)+MINUTE($H100)/60)+IF((HOUR($H100)+MINUTE($H100)/60)&lt;moc_chia_ngay,24,0))</f>
        <v/>
      </c>
      <c r="O100" s="23" t="str">
        <f>IF(OR($F100&lt;&gt;"TRUC_DEM",$I100=""),"",(HOUR($I100)+MINUTE($I100)/60)+IF((HOUR($I100)+MINUTE($I100)/60)&lt;moc_chia_ngay,24,0))</f>
        <v/>
      </c>
      <c r="P100" s="17" t="str">
        <f>IF($N100="","",MAX(0,MIN($O100,moc_loi_tu)-MAX($N100,moc_dem_tu))+MAX(0,MIN($O100,moc_dem_den)-MAX($N100,moc_loi_den)))</f>
        <v/>
      </c>
      <c r="Q100" s="17" t="str">
        <f>IF($N100="","",MAX(0,MIN($O100,moc_loi_den)-MAX($N100,moc_loi_tu)))</f>
        <v/>
      </c>
      <c r="R100" s="17" t="str">
        <f t="shared" si="5"/>
        <v/>
      </c>
      <c r="S100" s="4" t="str">
        <f t="shared" si="6"/>
        <v/>
      </c>
      <c r="T100" s="6">
        <f>IF($N100="",0,($P100*rate_gio_bien+$Q100*rate_gio_loi)*IF($G100="Lễ",he_so_le,1))</f>
        <v>0</v>
      </c>
      <c r="U100" s="6">
        <f>IF($N100="",0,IF($S100="Blaze",bca_blaze,IF($S100="Spark",bca_spark,0))*IF($G100="Lễ",he_so_le,1))</f>
        <v>0</v>
      </c>
      <c r="V100" s="24">
        <f t="shared" si="7"/>
        <v>0</v>
      </c>
      <c r="W100" s="24">
        <f>IF(OR($F100&lt;&gt;"OPS",$H100=""),0,ROUND(IF(AND($H100&gt;=TIME(6,0,0),$H100&lt;TIME(8,0,0)),ops_0600_0800,IF(AND($H100&gt;=TIME(8,0,0),$H100&lt;TIME(18,0,0)),ops_0800_1800,IF(AND($H100&gt;=TIME(18,0,0),$H100&lt;TIME(22,0,0)),ops_1800_2200,IF(OR($H100&gt;=TIME(22,0,0),$H100&lt;TIME(1,0,0)),ops_2200_0100,IF(AND($H100&gt;=TIME(1,0,0),$H100&lt;TIME(6,0,0)),ops_0100_0600,0)))))+IF($G100="Lễ",ops_phu_troi_le,0),0))</f>
        <v>0</v>
      </c>
      <c r="X100" s="16">
        <f t="shared" si="8"/>
        <v>0</v>
      </c>
      <c r="Y100" s="6" t="str">
        <f>IF(OR($F100&lt;&gt;"OPS",$K100=""),"",IF($K100&lt;=ops_kg_1nguoi,1,ops_nguoi_toi_da))</f>
        <v/>
      </c>
      <c r="Z100" s="15" t="str">
        <f t="shared" si="9"/>
        <v/>
      </c>
      <c r="AA100" s="5"/>
    </row>
    <row r="101" spans="2:27">
      <c r="B101" s="6" t="str">
        <f>IF($D101="","",96)</f>
        <v/>
      </c>
      <c r="C101" s="19"/>
      <c r="D101" s="20"/>
      <c r="E101" s="15" t="str">
        <f>IFERROR(VLOOKUP(D101,Assumption!$B$69:$C$80,2,0),"")</f>
        <v/>
      </c>
      <c r="F101" s="20"/>
      <c r="G101" s="20"/>
      <c r="H101" s="21"/>
      <c r="I101" s="21"/>
      <c r="J101" s="5"/>
      <c r="K101" s="22"/>
      <c r="L101" s="22"/>
      <c r="M101" s="20"/>
      <c r="N101" s="23" t="str">
        <f>IF(OR($F101&lt;&gt;"TRUC_DEM",$H101=""),"",(HOUR($H101)+MINUTE($H101)/60)+IF((HOUR($H101)+MINUTE($H101)/60)&lt;moc_chia_ngay,24,0))</f>
        <v/>
      </c>
      <c r="O101" s="23" t="str">
        <f>IF(OR($F101&lt;&gt;"TRUC_DEM",$I101=""),"",(HOUR($I101)+MINUTE($I101)/60)+IF((HOUR($I101)+MINUTE($I101)/60)&lt;moc_chia_ngay,24,0))</f>
        <v/>
      </c>
      <c r="P101" s="17" t="str">
        <f>IF($N101="","",MAX(0,MIN($O101,moc_loi_tu)-MAX($N101,moc_dem_tu))+MAX(0,MIN($O101,moc_dem_den)-MAX($N101,moc_loi_den)))</f>
        <v/>
      </c>
      <c r="Q101" s="17" t="str">
        <f>IF($N101="","",MAX(0,MIN($O101,moc_loi_den)-MAX($N101,moc_loi_tu)))</f>
        <v/>
      </c>
      <c r="R101" s="17" t="str">
        <f t="shared" si="5"/>
        <v/>
      </c>
      <c r="S101" s="4" t="str">
        <f t="shared" si="6"/>
        <v/>
      </c>
      <c r="T101" s="6">
        <f>IF($N101="",0,($P101*rate_gio_bien+$Q101*rate_gio_loi)*IF($G101="Lễ",he_so_le,1))</f>
        <v>0</v>
      </c>
      <c r="U101" s="6">
        <f>IF($N101="",0,IF($S101="Blaze",bca_blaze,IF($S101="Spark",bca_spark,0))*IF($G101="Lễ",he_so_le,1))</f>
        <v>0</v>
      </c>
      <c r="V101" s="24">
        <f t="shared" si="7"/>
        <v>0</v>
      </c>
      <c r="W101" s="24">
        <f>IF(OR($F101&lt;&gt;"OPS",$H101=""),0,ROUND(IF(AND($H101&gt;=TIME(6,0,0),$H101&lt;TIME(8,0,0)),ops_0600_0800,IF(AND($H101&gt;=TIME(8,0,0),$H101&lt;TIME(18,0,0)),ops_0800_1800,IF(AND($H101&gt;=TIME(18,0,0),$H101&lt;TIME(22,0,0)),ops_1800_2200,IF(OR($H101&gt;=TIME(22,0,0),$H101&lt;TIME(1,0,0)),ops_2200_0100,IF(AND($H101&gt;=TIME(1,0,0),$H101&lt;TIME(6,0,0)),ops_0100_0600,0)))))+IF($G101="Lễ",ops_phu_troi_le,0),0))</f>
        <v>0</v>
      </c>
      <c r="X101" s="16">
        <f t="shared" si="8"/>
        <v>0</v>
      </c>
      <c r="Y101" s="6" t="str">
        <f>IF(OR($F101&lt;&gt;"OPS",$K101=""),"",IF($K101&lt;=ops_kg_1nguoi,1,ops_nguoi_toi_da))</f>
        <v/>
      </c>
      <c r="Z101" s="15" t="str">
        <f t="shared" si="9"/>
        <v/>
      </c>
      <c r="AA101" s="5"/>
    </row>
    <row r="102" spans="2:27">
      <c r="B102" s="6" t="str">
        <f>IF($D102="","",97)</f>
        <v/>
      </c>
      <c r="C102" s="19"/>
      <c r="D102" s="20"/>
      <c r="E102" s="15" t="str">
        <f>IFERROR(VLOOKUP(D102,Assumption!$B$69:$C$80,2,0),"")</f>
        <v/>
      </c>
      <c r="F102" s="20"/>
      <c r="G102" s="20"/>
      <c r="H102" s="21"/>
      <c r="I102" s="21"/>
      <c r="J102" s="5"/>
      <c r="K102" s="22"/>
      <c r="L102" s="22"/>
      <c r="M102" s="20"/>
      <c r="N102" s="23" t="str">
        <f>IF(OR($F102&lt;&gt;"TRUC_DEM",$H102=""),"",(HOUR($H102)+MINUTE($H102)/60)+IF((HOUR($H102)+MINUTE($H102)/60)&lt;moc_chia_ngay,24,0))</f>
        <v/>
      </c>
      <c r="O102" s="23" t="str">
        <f>IF(OR($F102&lt;&gt;"TRUC_DEM",$I102=""),"",(HOUR($I102)+MINUTE($I102)/60)+IF((HOUR($I102)+MINUTE($I102)/60)&lt;moc_chia_ngay,24,0))</f>
        <v/>
      </c>
      <c r="P102" s="17" t="str">
        <f>IF($N102="","",MAX(0,MIN($O102,moc_loi_tu)-MAX($N102,moc_dem_tu))+MAX(0,MIN($O102,moc_dem_den)-MAX($N102,moc_loi_den)))</f>
        <v/>
      </c>
      <c r="Q102" s="17" t="str">
        <f>IF($N102="","",MAX(0,MIN($O102,moc_loi_den)-MAX($N102,moc_loi_tu)))</f>
        <v/>
      </c>
      <c r="R102" s="17" t="str">
        <f t="shared" si="5"/>
        <v/>
      </c>
      <c r="S102" s="4" t="str">
        <f t="shared" si="6"/>
        <v/>
      </c>
      <c r="T102" s="6">
        <f>IF($N102="",0,($P102*rate_gio_bien+$Q102*rate_gio_loi)*IF($G102="Lễ",he_so_le,1))</f>
        <v>0</v>
      </c>
      <c r="U102" s="6">
        <f>IF($N102="",0,IF($S102="Blaze",bca_blaze,IF($S102="Spark",bca_spark,0))*IF($G102="Lễ",he_so_le,1))</f>
        <v>0</v>
      </c>
      <c r="V102" s="24">
        <f t="shared" si="7"/>
        <v>0</v>
      </c>
      <c r="W102" s="24">
        <f>IF(OR($F102&lt;&gt;"OPS",$H102=""),0,ROUND(IF(AND($H102&gt;=TIME(6,0,0),$H102&lt;TIME(8,0,0)),ops_0600_0800,IF(AND($H102&gt;=TIME(8,0,0),$H102&lt;TIME(18,0,0)),ops_0800_1800,IF(AND($H102&gt;=TIME(18,0,0),$H102&lt;TIME(22,0,0)),ops_1800_2200,IF(OR($H102&gt;=TIME(22,0,0),$H102&lt;TIME(1,0,0)),ops_2200_0100,IF(AND($H102&gt;=TIME(1,0,0),$H102&lt;TIME(6,0,0)),ops_0100_0600,0)))))+IF($G102="Lễ",ops_phu_troi_le,0),0))</f>
        <v>0</v>
      </c>
      <c r="X102" s="16">
        <f t="shared" si="8"/>
        <v>0</v>
      </c>
      <c r="Y102" s="6" t="str">
        <f>IF(OR($F102&lt;&gt;"OPS",$K102=""),"",IF($K102&lt;=ops_kg_1nguoi,1,ops_nguoi_toi_da))</f>
        <v/>
      </c>
      <c r="Z102" s="15" t="str">
        <f t="shared" si="9"/>
        <v/>
      </c>
      <c r="AA102" s="5"/>
    </row>
    <row r="103" spans="2:27">
      <c r="B103" s="6" t="str">
        <f>IF($D103="","",98)</f>
        <v/>
      </c>
      <c r="C103" s="19"/>
      <c r="D103" s="20"/>
      <c r="E103" s="15" t="str">
        <f>IFERROR(VLOOKUP(D103,Assumption!$B$69:$C$80,2,0),"")</f>
        <v/>
      </c>
      <c r="F103" s="20"/>
      <c r="G103" s="20"/>
      <c r="H103" s="21"/>
      <c r="I103" s="21"/>
      <c r="J103" s="5"/>
      <c r="K103" s="22"/>
      <c r="L103" s="22"/>
      <c r="M103" s="20"/>
      <c r="N103" s="23" t="str">
        <f>IF(OR($F103&lt;&gt;"TRUC_DEM",$H103=""),"",(HOUR($H103)+MINUTE($H103)/60)+IF((HOUR($H103)+MINUTE($H103)/60)&lt;moc_chia_ngay,24,0))</f>
        <v/>
      </c>
      <c r="O103" s="23" t="str">
        <f>IF(OR($F103&lt;&gt;"TRUC_DEM",$I103=""),"",(HOUR($I103)+MINUTE($I103)/60)+IF((HOUR($I103)+MINUTE($I103)/60)&lt;moc_chia_ngay,24,0))</f>
        <v/>
      </c>
      <c r="P103" s="17" t="str">
        <f>IF($N103="","",MAX(0,MIN($O103,moc_loi_tu)-MAX($N103,moc_dem_tu))+MAX(0,MIN($O103,moc_dem_den)-MAX($N103,moc_loi_den)))</f>
        <v/>
      </c>
      <c r="Q103" s="17" t="str">
        <f>IF($N103="","",MAX(0,MIN($O103,moc_loi_den)-MAX($N103,moc_loi_tu)))</f>
        <v/>
      </c>
      <c r="R103" s="17" t="str">
        <f t="shared" si="5"/>
        <v/>
      </c>
      <c r="S103" s="4" t="str">
        <f t="shared" si="6"/>
        <v/>
      </c>
      <c r="T103" s="6">
        <f>IF($N103="",0,($P103*rate_gio_bien+$Q103*rate_gio_loi)*IF($G103="Lễ",he_so_le,1))</f>
        <v>0</v>
      </c>
      <c r="U103" s="6">
        <f>IF($N103="",0,IF($S103="Blaze",bca_blaze,IF($S103="Spark",bca_spark,0))*IF($G103="Lễ",he_so_le,1))</f>
        <v>0</v>
      </c>
      <c r="V103" s="24">
        <f t="shared" si="7"/>
        <v>0</v>
      </c>
      <c r="W103" s="24">
        <f>IF(OR($F103&lt;&gt;"OPS",$H103=""),0,ROUND(IF(AND($H103&gt;=TIME(6,0,0),$H103&lt;TIME(8,0,0)),ops_0600_0800,IF(AND($H103&gt;=TIME(8,0,0),$H103&lt;TIME(18,0,0)),ops_0800_1800,IF(AND($H103&gt;=TIME(18,0,0),$H103&lt;TIME(22,0,0)),ops_1800_2200,IF(OR($H103&gt;=TIME(22,0,0),$H103&lt;TIME(1,0,0)),ops_2200_0100,IF(AND($H103&gt;=TIME(1,0,0),$H103&lt;TIME(6,0,0)),ops_0100_0600,0)))))+IF($G103="Lễ",ops_phu_troi_le,0),0))</f>
        <v>0</v>
      </c>
      <c r="X103" s="16">
        <f t="shared" si="8"/>
        <v>0</v>
      </c>
      <c r="Y103" s="6" t="str">
        <f>IF(OR($F103&lt;&gt;"OPS",$K103=""),"",IF($K103&lt;=ops_kg_1nguoi,1,ops_nguoi_toi_da))</f>
        <v/>
      </c>
      <c r="Z103" s="15" t="str">
        <f t="shared" si="9"/>
        <v/>
      </c>
      <c r="AA103" s="5"/>
    </row>
    <row r="104" spans="2:27">
      <c r="B104" s="6" t="str">
        <f>IF($D104="","",99)</f>
        <v/>
      </c>
      <c r="C104" s="19"/>
      <c r="D104" s="20"/>
      <c r="E104" s="15" t="str">
        <f>IFERROR(VLOOKUP(D104,Assumption!$B$69:$C$80,2,0),"")</f>
        <v/>
      </c>
      <c r="F104" s="20"/>
      <c r="G104" s="20"/>
      <c r="H104" s="21"/>
      <c r="I104" s="21"/>
      <c r="J104" s="5"/>
      <c r="K104" s="22"/>
      <c r="L104" s="22"/>
      <c r="M104" s="20"/>
      <c r="N104" s="23" t="str">
        <f>IF(OR($F104&lt;&gt;"TRUC_DEM",$H104=""),"",(HOUR($H104)+MINUTE($H104)/60)+IF((HOUR($H104)+MINUTE($H104)/60)&lt;moc_chia_ngay,24,0))</f>
        <v/>
      </c>
      <c r="O104" s="23" t="str">
        <f>IF(OR($F104&lt;&gt;"TRUC_DEM",$I104=""),"",(HOUR($I104)+MINUTE($I104)/60)+IF((HOUR($I104)+MINUTE($I104)/60)&lt;moc_chia_ngay,24,0))</f>
        <v/>
      </c>
      <c r="P104" s="17" t="str">
        <f>IF($N104="","",MAX(0,MIN($O104,moc_loi_tu)-MAX($N104,moc_dem_tu))+MAX(0,MIN($O104,moc_dem_den)-MAX($N104,moc_loi_den)))</f>
        <v/>
      </c>
      <c r="Q104" s="17" t="str">
        <f>IF($N104="","",MAX(0,MIN($O104,moc_loi_den)-MAX($N104,moc_loi_tu)))</f>
        <v/>
      </c>
      <c r="R104" s="17" t="str">
        <f t="shared" si="5"/>
        <v/>
      </c>
      <c r="S104" s="4" t="str">
        <f t="shared" si="6"/>
        <v/>
      </c>
      <c r="T104" s="6">
        <f>IF($N104="",0,($P104*rate_gio_bien+$Q104*rate_gio_loi)*IF($G104="Lễ",he_so_le,1))</f>
        <v>0</v>
      </c>
      <c r="U104" s="6">
        <f>IF($N104="",0,IF($S104="Blaze",bca_blaze,IF($S104="Spark",bca_spark,0))*IF($G104="Lễ",he_so_le,1))</f>
        <v>0</v>
      </c>
      <c r="V104" s="24">
        <f t="shared" si="7"/>
        <v>0</v>
      </c>
      <c r="W104" s="24">
        <f>IF(OR($F104&lt;&gt;"OPS",$H104=""),0,ROUND(IF(AND($H104&gt;=TIME(6,0,0),$H104&lt;TIME(8,0,0)),ops_0600_0800,IF(AND($H104&gt;=TIME(8,0,0),$H104&lt;TIME(18,0,0)),ops_0800_1800,IF(AND($H104&gt;=TIME(18,0,0),$H104&lt;TIME(22,0,0)),ops_1800_2200,IF(OR($H104&gt;=TIME(22,0,0),$H104&lt;TIME(1,0,0)),ops_2200_0100,IF(AND($H104&gt;=TIME(1,0,0),$H104&lt;TIME(6,0,0)),ops_0100_0600,0)))))+IF($G104="Lễ",ops_phu_troi_le,0),0))</f>
        <v>0</v>
      </c>
      <c r="X104" s="16">
        <f t="shared" si="8"/>
        <v>0</v>
      </c>
      <c r="Y104" s="6" t="str">
        <f>IF(OR($F104&lt;&gt;"OPS",$K104=""),"",IF($K104&lt;=ops_kg_1nguoi,1,ops_nguoi_toi_da))</f>
        <v/>
      </c>
      <c r="Z104" s="15" t="str">
        <f t="shared" si="9"/>
        <v/>
      </c>
      <c r="AA104" s="5"/>
    </row>
    <row r="105" spans="2:27">
      <c r="B105" s="6" t="str">
        <f>IF($D105="","",100)</f>
        <v/>
      </c>
      <c r="C105" s="19"/>
      <c r="D105" s="20"/>
      <c r="E105" s="15" t="str">
        <f>IFERROR(VLOOKUP(D105,Assumption!$B$69:$C$80,2,0),"")</f>
        <v/>
      </c>
      <c r="F105" s="20"/>
      <c r="G105" s="20"/>
      <c r="H105" s="21"/>
      <c r="I105" s="21"/>
      <c r="J105" s="5"/>
      <c r="K105" s="22"/>
      <c r="L105" s="22"/>
      <c r="M105" s="20"/>
      <c r="N105" s="23" t="str">
        <f>IF(OR($F105&lt;&gt;"TRUC_DEM",$H105=""),"",(HOUR($H105)+MINUTE($H105)/60)+IF((HOUR($H105)+MINUTE($H105)/60)&lt;moc_chia_ngay,24,0))</f>
        <v/>
      </c>
      <c r="O105" s="23" t="str">
        <f>IF(OR($F105&lt;&gt;"TRUC_DEM",$I105=""),"",(HOUR($I105)+MINUTE($I105)/60)+IF((HOUR($I105)+MINUTE($I105)/60)&lt;moc_chia_ngay,24,0))</f>
        <v/>
      </c>
      <c r="P105" s="17" t="str">
        <f>IF($N105="","",MAX(0,MIN($O105,moc_loi_tu)-MAX($N105,moc_dem_tu))+MAX(0,MIN($O105,moc_dem_den)-MAX($N105,moc_loi_den)))</f>
        <v/>
      </c>
      <c r="Q105" s="17" t="str">
        <f>IF($N105="","",MAX(0,MIN($O105,moc_loi_den)-MAX($N105,moc_loi_tu)))</f>
        <v/>
      </c>
      <c r="R105" s="17" t="str">
        <f t="shared" si="5"/>
        <v/>
      </c>
      <c r="S105" s="4" t="str">
        <f t="shared" si="6"/>
        <v/>
      </c>
      <c r="T105" s="6">
        <f>IF($N105="",0,($P105*rate_gio_bien+$Q105*rate_gio_loi)*IF($G105="Lễ",he_so_le,1))</f>
        <v>0</v>
      </c>
      <c r="U105" s="6">
        <f>IF($N105="",0,IF($S105="Blaze",bca_blaze,IF($S105="Spark",bca_spark,0))*IF($G105="Lễ",he_so_le,1))</f>
        <v>0</v>
      </c>
      <c r="V105" s="24">
        <f t="shared" si="7"/>
        <v>0</v>
      </c>
      <c r="W105" s="24">
        <f>IF(OR($F105&lt;&gt;"OPS",$H105=""),0,ROUND(IF(AND($H105&gt;=TIME(6,0,0),$H105&lt;TIME(8,0,0)),ops_0600_0800,IF(AND($H105&gt;=TIME(8,0,0),$H105&lt;TIME(18,0,0)),ops_0800_1800,IF(AND($H105&gt;=TIME(18,0,0),$H105&lt;TIME(22,0,0)),ops_1800_2200,IF(OR($H105&gt;=TIME(22,0,0),$H105&lt;TIME(1,0,0)),ops_2200_0100,IF(AND($H105&gt;=TIME(1,0,0),$H105&lt;TIME(6,0,0)),ops_0100_0600,0)))))+IF($G105="Lễ",ops_phu_troi_le,0),0))</f>
        <v>0</v>
      </c>
      <c r="X105" s="16">
        <f t="shared" si="8"/>
        <v>0</v>
      </c>
      <c r="Y105" s="6" t="str">
        <f>IF(OR($F105&lt;&gt;"OPS",$K105=""),"",IF($K105&lt;=ops_kg_1nguoi,1,ops_nguoi_toi_da))</f>
        <v/>
      </c>
      <c r="Z105" s="15" t="str">
        <f t="shared" si="9"/>
        <v/>
      </c>
      <c r="AA105" s="5"/>
    </row>
    <row r="106" spans="2:27">
      <c r="B106" s="6" t="str">
        <f>IF($D106="","",101)</f>
        <v/>
      </c>
      <c r="C106" s="19"/>
      <c r="D106" s="20"/>
      <c r="E106" s="15" t="str">
        <f>IFERROR(VLOOKUP(D106,Assumption!$B$69:$C$80,2,0),"")</f>
        <v/>
      </c>
      <c r="F106" s="20"/>
      <c r="G106" s="20"/>
      <c r="H106" s="21"/>
      <c r="I106" s="21"/>
      <c r="J106" s="5"/>
      <c r="K106" s="22"/>
      <c r="L106" s="22"/>
      <c r="M106" s="20"/>
      <c r="N106" s="23" t="str">
        <f>IF(OR($F106&lt;&gt;"TRUC_DEM",$H106=""),"",(HOUR($H106)+MINUTE($H106)/60)+IF((HOUR($H106)+MINUTE($H106)/60)&lt;moc_chia_ngay,24,0))</f>
        <v/>
      </c>
      <c r="O106" s="23" t="str">
        <f>IF(OR($F106&lt;&gt;"TRUC_DEM",$I106=""),"",(HOUR($I106)+MINUTE($I106)/60)+IF((HOUR($I106)+MINUTE($I106)/60)&lt;moc_chia_ngay,24,0))</f>
        <v/>
      </c>
      <c r="P106" s="17" t="str">
        <f>IF($N106="","",MAX(0,MIN($O106,moc_loi_tu)-MAX($N106,moc_dem_tu))+MAX(0,MIN($O106,moc_dem_den)-MAX($N106,moc_loi_den)))</f>
        <v/>
      </c>
      <c r="Q106" s="17" t="str">
        <f>IF($N106="","",MAX(0,MIN($O106,moc_loi_den)-MAX($N106,moc_loi_tu)))</f>
        <v/>
      </c>
      <c r="R106" s="17" t="str">
        <f t="shared" si="5"/>
        <v/>
      </c>
      <c r="S106" s="4" t="str">
        <f t="shared" si="6"/>
        <v/>
      </c>
      <c r="T106" s="6">
        <f>IF($N106="",0,($P106*rate_gio_bien+$Q106*rate_gio_loi)*IF($G106="Lễ",he_so_le,1))</f>
        <v>0</v>
      </c>
      <c r="U106" s="6">
        <f>IF($N106="",0,IF($S106="Blaze",bca_blaze,IF($S106="Spark",bca_spark,0))*IF($G106="Lễ",he_so_le,1))</f>
        <v>0</v>
      </c>
      <c r="V106" s="24">
        <f t="shared" si="7"/>
        <v>0</v>
      </c>
      <c r="W106" s="24">
        <f>IF(OR($F106&lt;&gt;"OPS",$H106=""),0,ROUND(IF(AND($H106&gt;=TIME(6,0,0),$H106&lt;TIME(8,0,0)),ops_0600_0800,IF(AND($H106&gt;=TIME(8,0,0),$H106&lt;TIME(18,0,0)),ops_0800_1800,IF(AND($H106&gt;=TIME(18,0,0),$H106&lt;TIME(22,0,0)),ops_1800_2200,IF(OR($H106&gt;=TIME(22,0,0),$H106&lt;TIME(1,0,0)),ops_2200_0100,IF(AND($H106&gt;=TIME(1,0,0),$H106&lt;TIME(6,0,0)),ops_0100_0600,0)))))+IF($G106="Lễ",ops_phu_troi_le,0),0))</f>
        <v>0</v>
      </c>
      <c r="X106" s="16">
        <f t="shared" si="8"/>
        <v>0</v>
      </c>
      <c r="Y106" s="6" t="str">
        <f>IF(OR($F106&lt;&gt;"OPS",$K106=""),"",IF($K106&lt;=ops_kg_1nguoi,1,ops_nguoi_toi_da))</f>
        <v/>
      </c>
      <c r="Z106" s="15" t="str">
        <f t="shared" si="9"/>
        <v/>
      </c>
      <c r="AA106" s="5"/>
    </row>
    <row r="107" spans="2:27">
      <c r="B107" s="6" t="str">
        <f>IF($D107="","",102)</f>
        <v/>
      </c>
      <c r="C107" s="19"/>
      <c r="D107" s="20"/>
      <c r="E107" s="15" t="str">
        <f>IFERROR(VLOOKUP(D107,Assumption!$B$69:$C$80,2,0),"")</f>
        <v/>
      </c>
      <c r="F107" s="20"/>
      <c r="G107" s="20"/>
      <c r="H107" s="21"/>
      <c r="I107" s="21"/>
      <c r="J107" s="5"/>
      <c r="K107" s="22"/>
      <c r="L107" s="22"/>
      <c r="M107" s="20"/>
      <c r="N107" s="23" t="str">
        <f>IF(OR($F107&lt;&gt;"TRUC_DEM",$H107=""),"",(HOUR($H107)+MINUTE($H107)/60)+IF((HOUR($H107)+MINUTE($H107)/60)&lt;moc_chia_ngay,24,0))</f>
        <v/>
      </c>
      <c r="O107" s="23" t="str">
        <f>IF(OR($F107&lt;&gt;"TRUC_DEM",$I107=""),"",(HOUR($I107)+MINUTE($I107)/60)+IF((HOUR($I107)+MINUTE($I107)/60)&lt;moc_chia_ngay,24,0))</f>
        <v/>
      </c>
      <c r="P107" s="17" t="str">
        <f>IF($N107="","",MAX(0,MIN($O107,moc_loi_tu)-MAX($N107,moc_dem_tu))+MAX(0,MIN($O107,moc_dem_den)-MAX($N107,moc_loi_den)))</f>
        <v/>
      </c>
      <c r="Q107" s="17" t="str">
        <f>IF($N107="","",MAX(0,MIN($O107,moc_loi_den)-MAX($N107,moc_loi_tu)))</f>
        <v/>
      </c>
      <c r="R107" s="17" t="str">
        <f t="shared" si="5"/>
        <v/>
      </c>
      <c r="S107" s="4" t="str">
        <f t="shared" si="6"/>
        <v/>
      </c>
      <c r="T107" s="6">
        <f>IF($N107="",0,($P107*rate_gio_bien+$Q107*rate_gio_loi)*IF($G107="Lễ",he_so_le,1))</f>
        <v>0</v>
      </c>
      <c r="U107" s="6">
        <f>IF($N107="",0,IF($S107="Blaze",bca_blaze,IF($S107="Spark",bca_spark,0))*IF($G107="Lễ",he_so_le,1))</f>
        <v>0</v>
      </c>
      <c r="V107" s="24">
        <f t="shared" si="7"/>
        <v>0</v>
      </c>
      <c r="W107" s="24">
        <f>IF(OR($F107&lt;&gt;"OPS",$H107=""),0,ROUND(IF(AND($H107&gt;=TIME(6,0,0),$H107&lt;TIME(8,0,0)),ops_0600_0800,IF(AND($H107&gt;=TIME(8,0,0),$H107&lt;TIME(18,0,0)),ops_0800_1800,IF(AND($H107&gt;=TIME(18,0,0),$H107&lt;TIME(22,0,0)),ops_1800_2200,IF(OR($H107&gt;=TIME(22,0,0),$H107&lt;TIME(1,0,0)),ops_2200_0100,IF(AND($H107&gt;=TIME(1,0,0),$H107&lt;TIME(6,0,0)),ops_0100_0600,0)))))+IF($G107="Lễ",ops_phu_troi_le,0),0))</f>
        <v>0</v>
      </c>
      <c r="X107" s="16">
        <f t="shared" si="8"/>
        <v>0</v>
      </c>
      <c r="Y107" s="6" t="str">
        <f>IF(OR($F107&lt;&gt;"OPS",$K107=""),"",IF($K107&lt;=ops_kg_1nguoi,1,ops_nguoi_toi_da))</f>
        <v/>
      </c>
      <c r="Z107" s="15" t="str">
        <f t="shared" si="9"/>
        <v/>
      </c>
      <c r="AA107" s="5"/>
    </row>
    <row r="108" spans="2:27">
      <c r="B108" s="6" t="str">
        <f>IF($D108="","",103)</f>
        <v/>
      </c>
      <c r="C108" s="19"/>
      <c r="D108" s="20"/>
      <c r="E108" s="15" t="str">
        <f>IFERROR(VLOOKUP(D108,Assumption!$B$69:$C$80,2,0),"")</f>
        <v/>
      </c>
      <c r="F108" s="20"/>
      <c r="G108" s="20"/>
      <c r="H108" s="21"/>
      <c r="I108" s="21"/>
      <c r="J108" s="5"/>
      <c r="K108" s="22"/>
      <c r="L108" s="22"/>
      <c r="M108" s="20"/>
      <c r="N108" s="23" t="str">
        <f>IF(OR($F108&lt;&gt;"TRUC_DEM",$H108=""),"",(HOUR($H108)+MINUTE($H108)/60)+IF((HOUR($H108)+MINUTE($H108)/60)&lt;moc_chia_ngay,24,0))</f>
        <v/>
      </c>
      <c r="O108" s="23" t="str">
        <f>IF(OR($F108&lt;&gt;"TRUC_DEM",$I108=""),"",(HOUR($I108)+MINUTE($I108)/60)+IF((HOUR($I108)+MINUTE($I108)/60)&lt;moc_chia_ngay,24,0))</f>
        <v/>
      </c>
      <c r="P108" s="17" t="str">
        <f>IF($N108="","",MAX(0,MIN($O108,moc_loi_tu)-MAX($N108,moc_dem_tu))+MAX(0,MIN($O108,moc_dem_den)-MAX($N108,moc_loi_den)))</f>
        <v/>
      </c>
      <c r="Q108" s="17" t="str">
        <f>IF($N108="","",MAX(0,MIN($O108,moc_loi_den)-MAX($N108,moc_loi_tu)))</f>
        <v/>
      </c>
      <c r="R108" s="17" t="str">
        <f t="shared" si="5"/>
        <v/>
      </c>
      <c r="S108" s="4" t="str">
        <f t="shared" si="6"/>
        <v/>
      </c>
      <c r="T108" s="6">
        <f>IF($N108="",0,($P108*rate_gio_bien+$Q108*rate_gio_loi)*IF($G108="Lễ",he_so_le,1))</f>
        <v>0</v>
      </c>
      <c r="U108" s="6">
        <f>IF($N108="",0,IF($S108="Blaze",bca_blaze,IF($S108="Spark",bca_spark,0))*IF($G108="Lễ",he_so_le,1))</f>
        <v>0</v>
      </c>
      <c r="V108" s="24">
        <f t="shared" si="7"/>
        <v>0</v>
      </c>
      <c r="W108" s="24">
        <f>IF(OR($F108&lt;&gt;"OPS",$H108=""),0,ROUND(IF(AND($H108&gt;=TIME(6,0,0),$H108&lt;TIME(8,0,0)),ops_0600_0800,IF(AND($H108&gt;=TIME(8,0,0),$H108&lt;TIME(18,0,0)),ops_0800_1800,IF(AND($H108&gt;=TIME(18,0,0),$H108&lt;TIME(22,0,0)),ops_1800_2200,IF(OR($H108&gt;=TIME(22,0,0),$H108&lt;TIME(1,0,0)),ops_2200_0100,IF(AND($H108&gt;=TIME(1,0,0),$H108&lt;TIME(6,0,0)),ops_0100_0600,0)))))+IF($G108="Lễ",ops_phu_troi_le,0),0))</f>
        <v>0</v>
      </c>
      <c r="X108" s="16">
        <f t="shared" si="8"/>
        <v>0</v>
      </c>
      <c r="Y108" s="6" t="str">
        <f>IF(OR($F108&lt;&gt;"OPS",$K108=""),"",IF($K108&lt;=ops_kg_1nguoi,1,ops_nguoi_toi_da))</f>
        <v/>
      </c>
      <c r="Z108" s="15" t="str">
        <f t="shared" si="9"/>
        <v/>
      </c>
      <c r="AA108" s="5"/>
    </row>
    <row r="109" spans="2:27">
      <c r="B109" s="6" t="str">
        <f>IF($D109="","",104)</f>
        <v/>
      </c>
      <c r="C109" s="19"/>
      <c r="D109" s="20"/>
      <c r="E109" s="15" t="str">
        <f>IFERROR(VLOOKUP(D109,Assumption!$B$69:$C$80,2,0),"")</f>
        <v/>
      </c>
      <c r="F109" s="20"/>
      <c r="G109" s="20"/>
      <c r="H109" s="21"/>
      <c r="I109" s="21"/>
      <c r="J109" s="5"/>
      <c r="K109" s="22"/>
      <c r="L109" s="22"/>
      <c r="M109" s="20"/>
      <c r="N109" s="23" t="str">
        <f>IF(OR($F109&lt;&gt;"TRUC_DEM",$H109=""),"",(HOUR($H109)+MINUTE($H109)/60)+IF((HOUR($H109)+MINUTE($H109)/60)&lt;moc_chia_ngay,24,0))</f>
        <v/>
      </c>
      <c r="O109" s="23" t="str">
        <f>IF(OR($F109&lt;&gt;"TRUC_DEM",$I109=""),"",(HOUR($I109)+MINUTE($I109)/60)+IF((HOUR($I109)+MINUTE($I109)/60)&lt;moc_chia_ngay,24,0))</f>
        <v/>
      </c>
      <c r="P109" s="17" t="str">
        <f>IF($N109="","",MAX(0,MIN($O109,moc_loi_tu)-MAX($N109,moc_dem_tu))+MAX(0,MIN($O109,moc_dem_den)-MAX($N109,moc_loi_den)))</f>
        <v/>
      </c>
      <c r="Q109" s="17" t="str">
        <f>IF($N109="","",MAX(0,MIN($O109,moc_loi_den)-MAX($N109,moc_loi_tu)))</f>
        <v/>
      </c>
      <c r="R109" s="17" t="str">
        <f t="shared" si="5"/>
        <v/>
      </c>
      <c r="S109" s="4" t="str">
        <f t="shared" si="6"/>
        <v/>
      </c>
      <c r="T109" s="6">
        <f>IF($N109="",0,($P109*rate_gio_bien+$Q109*rate_gio_loi)*IF($G109="Lễ",he_so_le,1))</f>
        <v>0</v>
      </c>
      <c r="U109" s="6">
        <f>IF($N109="",0,IF($S109="Blaze",bca_blaze,IF($S109="Spark",bca_spark,0))*IF($G109="Lễ",he_so_le,1))</f>
        <v>0</v>
      </c>
      <c r="V109" s="24">
        <f t="shared" si="7"/>
        <v>0</v>
      </c>
      <c r="W109" s="24">
        <f>IF(OR($F109&lt;&gt;"OPS",$H109=""),0,ROUND(IF(AND($H109&gt;=TIME(6,0,0),$H109&lt;TIME(8,0,0)),ops_0600_0800,IF(AND($H109&gt;=TIME(8,0,0),$H109&lt;TIME(18,0,0)),ops_0800_1800,IF(AND($H109&gt;=TIME(18,0,0),$H109&lt;TIME(22,0,0)),ops_1800_2200,IF(OR($H109&gt;=TIME(22,0,0),$H109&lt;TIME(1,0,0)),ops_2200_0100,IF(AND($H109&gt;=TIME(1,0,0),$H109&lt;TIME(6,0,0)),ops_0100_0600,0)))))+IF($G109="Lễ",ops_phu_troi_le,0),0))</f>
        <v>0</v>
      </c>
      <c r="X109" s="16">
        <f t="shared" si="8"/>
        <v>0</v>
      </c>
      <c r="Y109" s="6" t="str">
        <f>IF(OR($F109&lt;&gt;"OPS",$K109=""),"",IF($K109&lt;=ops_kg_1nguoi,1,ops_nguoi_toi_da))</f>
        <v/>
      </c>
      <c r="Z109" s="15" t="str">
        <f t="shared" si="9"/>
        <v/>
      </c>
      <c r="AA109" s="5"/>
    </row>
    <row r="110" spans="2:27">
      <c r="B110" s="6" t="str">
        <f>IF($D110="","",105)</f>
        <v/>
      </c>
      <c r="C110" s="19"/>
      <c r="D110" s="20"/>
      <c r="E110" s="15" t="str">
        <f>IFERROR(VLOOKUP(D110,Assumption!$B$69:$C$80,2,0),"")</f>
        <v/>
      </c>
      <c r="F110" s="20"/>
      <c r="G110" s="20"/>
      <c r="H110" s="21"/>
      <c r="I110" s="21"/>
      <c r="J110" s="5"/>
      <c r="K110" s="22"/>
      <c r="L110" s="22"/>
      <c r="M110" s="20"/>
      <c r="N110" s="23" t="str">
        <f>IF(OR($F110&lt;&gt;"TRUC_DEM",$H110=""),"",(HOUR($H110)+MINUTE($H110)/60)+IF((HOUR($H110)+MINUTE($H110)/60)&lt;moc_chia_ngay,24,0))</f>
        <v/>
      </c>
      <c r="O110" s="23" t="str">
        <f>IF(OR($F110&lt;&gt;"TRUC_DEM",$I110=""),"",(HOUR($I110)+MINUTE($I110)/60)+IF((HOUR($I110)+MINUTE($I110)/60)&lt;moc_chia_ngay,24,0))</f>
        <v/>
      </c>
      <c r="P110" s="17" t="str">
        <f>IF($N110="","",MAX(0,MIN($O110,moc_loi_tu)-MAX($N110,moc_dem_tu))+MAX(0,MIN($O110,moc_dem_den)-MAX($N110,moc_loi_den)))</f>
        <v/>
      </c>
      <c r="Q110" s="17" t="str">
        <f>IF($N110="","",MAX(0,MIN($O110,moc_loi_den)-MAX($N110,moc_loi_tu)))</f>
        <v/>
      </c>
      <c r="R110" s="17" t="str">
        <f t="shared" si="5"/>
        <v/>
      </c>
      <c r="S110" s="4" t="str">
        <f t="shared" si="6"/>
        <v/>
      </c>
      <c r="T110" s="6">
        <f>IF($N110="",0,($P110*rate_gio_bien+$Q110*rate_gio_loi)*IF($G110="Lễ",he_so_le,1))</f>
        <v>0</v>
      </c>
      <c r="U110" s="6">
        <f>IF($N110="",0,IF($S110="Blaze",bca_blaze,IF($S110="Spark",bca_spark,0))*IF($G110="Lễ",he_so_le,1))</f>
        <v>0</v>
      </c>
      <c r="V110" s="24">
        <f t="shared" si="7"/>
        <v>0</v>
      </c>
      <c r="W110" s="24">
        <f>IF(OR($F110&lt;&gt;"OPS",$H110=""),0,ROUND(IF(AND($H110&gt;=TIME(6,0,0),$H110&lt;TIME(8,0,0)),ops_0600_0800,IF(AND($H110&gt;=TIME(8,0,0),$H110&lt;TIME(18,0,0)),ops_0800_1800,IF(AND($H110&gt;=TIME(18,0,0),$H110&lt;TIME(22,0,0)),ops_1800_2200,IF(OR($H110&gt;=TIME(22,0,0),$H110&lt;TIME(1,0,0)),ops_2200_0100,IF(AND($H110&gt;=TIME(1,0,0),$H110&lt;TIME(6,0,0)),ops_0100_0600,0)))))+IF($G110="Lễ",ops_phu_troi_le,0),0))</f>
        <v>0</v>
      </c>
      <c r="X110" s="16">
        <f t="shared" si="8"/>
        <v>0</v>
      </c>
      <c r="Y110" s="6" t="str">
        <f>IF(OR($F110&lt;&gt;"OPS",$K110=""),"",IF($K110&lt;=ops_kg_1nguoi,1,ops_nguoi_toi_da))</f>
        <v/>
      </c>
      <c r="Z110" s="15" t="str">
        <f t="shared" si="9"/>
        <v/>
      </c>
      <c r="AA110" s="5"/>
    </row>
    <row r="111" spans="2:27">
      <c r="B111" s="6" t="str">
        <f>IF($D111="","",106)</f>
        <v/>
      </c>
      <c r="C111" s="19"/>
      <c r="D111" s="20"/>
      <c r="E111" s="15" t="str">
        <f>IFERROR(VLOOKUP(D111,Assumption!$B$69:$C$80,2,0),"")</f>
        <v/>
      </c>
      <c r="F111" s="20"/>
      <c r="G111" s="20"/>
      <c r="H111" s="21"/>
      <c r="I111" s="21"/>
      <c r="J111" s="5"/>
      <c r="K111" s="22"/>
      <c r="L111" s="22"/>
      <c r="M111" s="20"/>
      <c r="N111" s="23" t="str">
        <f>IF(OR($F111&lt;&gt;"TRUC_DEM",$H111=""),"",(HOUR($H111)+MINUTE($H111)/60)+IF((HOUR($H111)+MINUTE($H111)/60)&lt;moc_chia_ngay,24,0))</f>
        <v/>
      </c>
      <c r="O111" s="23" t="str">
        <f>IF(OR($F111&lt;&gt;"TRUC_DEM",$I111=""),"",(HOUR($I111)+MINUTE($I111)/60)+IF((HOUR($I111)+MINUTE($I111)/60)&lt;moc_chia_ngay,24,0))</f>
        <v/>
      </c>
      <c r="P111" s="17" t="str">
        <f>IF($N111="","",MAX(0,MIN($O111,moc_loi_tu)-MAX($N111,moc_dem_tu))+MAX(0,MIN($O111,moc_dem_den)-MAX($N111,moc_loi_den)))</f>
        <v/>
      </c>
      <c r="Q111" s="17" t="str">
        <f>IF($N111="","",MAX(0,MIN($O111,moc_loi_den)-MAX($N111,moc_loi_tu)))</f>
        <v/>
      </c>
      <c r="R111" s="17" t="str">
        <f t="shared" si="5"/>
        <v/>
      </c>
      <c r="S111" s="4" t="str">
        <f t="shared" si="6"/>
        <v/>
      </c>
      <c r="T111" s="6">
        <f>IF($N111="",0,($P111*rate_gio_bien+$Q111*rate_gio_loi)*IF($G111="Lễ",he_so_le,1))</f>
        <v>0</v>
      </c>
      <c r="U111" s="6">
        <f>IF($N111="",0,IF($S111="Blaze",bca_blaze,IF($S111="Spark",bca_spark,0))*IF($G111="Lễ",he_so_le,1))</f>
        <v>0</v>
      </c>
      <c r="V111" s="24">
        <f t="shared" si="7"/>
        <v>0</v>
      </c>
      <c r="W111" s="24">
        <f>IF(OR($F111&lt;&gt;"OPS",$H111=""),0,ROUND(IF(AND($H111&gt;=TIME(6,0,0),$H111&lt;TIME(8,0,0)),ops_0600_0800,IF(AND($H111&gt;=TIME(8,0,0),$H111&lt;TIME(18,0,0)),ops_0800_1800,IF(AND($H111&gt;=TIME(18,0,0),$H111&lt;TIME(22,0,0)),ops_1800_2200,IF(OR($H111&gt;=TIME(22,0,0),$H111&lt;TIME(1,0,0)),ops_2200_0100,IF(AND($H111&gt;=TIME(1,0,0),$H111&lt;TIME(6,0,0)),ops_0100_0600,0)))))+IF($G111="Lễ",ops_phu_troi_le,0),0))</f>
        <v>0</v>
      </c>
      <c r="X111" s="16">
        <f t="shared" si="8"/>
        <v>0</v>
      </c>
      <c r="Y111" s="6" t="str">
        <f>IF(OR($F111&lt;&gt;"OPS",$K111=""),"",IF($K111&lt;=ops_kg_1nguoi,1,ops_nguoi_toi_da))</f>
        <v/>
      </c>
      <c r="Z111" s="15" t="str">
        <f t="shared" si="9"/>
        <v/>
      </c>
      <c r="AA111" s="5"/>
    </row>
    <row r="112" spans="2:27">
      <c r="B112" s="6" t="str">
        <f>IF($D112="","",107)</f>
        <v/>
      </c>
      <c r="C112" s="19"/>
      <c r="D112" s="20"/>
      <c r="E112" s="15" t="str">
        <f>IFERROR(VLOOKUP(D112,Assumption!$B$69:$C$80,2,0),"")</f>
        <v/>
      </c>
      <c r="F112" s="20"/>
      <c r="G112" s="20"/>
      <c r="H112" s="21"/>
      <c r="I112" s="21"/>
      <c r="J112" s="5"/>
      <c r="K112" s="22"/>
      <c r="L112" s="22"/>
      <c r="M112" s="20"/>
      <c r="N112" s="23" t="str">
        <f>IF(OR($F112&lt;&gt;"TRUC_DEM",$H112=""),"",(HOUR($H112)+MINUTE($H112)/60)+IF((HOUR($H112)+MINUTE($H112)/60)&lt;moc_chia_ngay,24,0))</f>
        <v/>
      </c>
      <c r="O112" s="23" t="str">
        <f>IF(OR($F112&lt;&gt;"TRUC_DEM",$I112=""),"",(HOUR($I112)+MINUTE($I112)/60)+IF((HOUR($I112)+MINUTE($I112)/60)&lt;moc_chia_ngay,24,0))</f>
        <v/>
      </c>
      <c r="P112" s="17" t="str">
        <f>IF($N112="","",MAX(0,MIN($O112,moc_loi_tu)-MAX($N112,moc_dem_tu))+MAX(0,MIN($O112,moc_dem_den)-MAX($N112,moc_loi_den)))</f>
        <v/>
      </c>
      <c r="Q112" s="17" t="str">
        <f>IF($N112="","",MAX(0,MIN($O112,moc_loi_den)-MAX($N112,moc_loi_tu)))</f>
        <v/>
      </c>
      <c r="R112" s="17" t="str">
        <f t="shared" si="5"/>
        <v/>
      </c>
      <c r="S112" s="4" t="str">
        <f t="shared" si="6"/>
        <v/>
      </c>
      <c r="T112" s="6">
        <f>IF($N112="",0,($P112*rate_gio_bien+$Q112*rate_gio_loi)*IF($G112="Lễ",he_so_le,1))</f>
        <v>0</v>
      </c>
      <c r="U112" s="6">
        <f>IF($N112="",0,IF($S112="Blaze",bca_blaze,IF($S112="Spark",bca_spark,0))*IF($G112="Lễ",he_so_le,1))</f>
        <v>0</v>
      </c>
      <c r="V112" s="24">
        <f t="shared" si="7"/>
        <v>0</v>
      </c>
      <c r="W112" s="24">
        <f>IF(OR($F112&lt;&gt;"OPS",$H112=""),0,ROUND(IF(AND($H112&gt;=TIME(6,0,0),$H112&lt;TIME(8,0,0)),ops_0600_0800,IF(AND($H112&gt;=TIME(8,0,0),$H112&lt;TIME(18,0,0)),ops_0800_1800,IF(AND($H112&gt;=TIME(18,0,0),$H112&lt;TIME(22,0,0)),ops_1800_2200,IF(OR($H112&gt;=TIME(22,0,0),$H112&lt;TIME(1,0,0)),ops_2200_0100,IF(AND($H112&gt;=TIME(1,0,0),$H112&lt;TIME(6,0,0)),ops_0100_0600,0)))))+IF($G112="Lễ",ops_phu_troi_le,0),0))</f>
        <v>0</v>
      </c>
      <c r="X112" s="16">
        <f t="shared" si="8"/>
        <v>0</v>
      </c>
      <c r="Y112" s="6" t="str">
        <f>IF(OR($F112&lt;&gt;"OPS",$K112=""),"",IF($K112&lt;=ops_kg_1nguoi,1,ops_nguoi_toi_da))</f>
        <v/>
      </c>
      <c r="Z112" s="15" t="str">
        <f t="shared" si="9"/>
        <v/>
      </c>
      <c r="AA112" s="5"/>
    </row>
    <row r="113" spans="2:27">
      <c r="B113" s="6" t="str">
        <f>IF($D113="","",108)</f>
        <v/>
      </c>
      <c r="C113" s="19"/>
      <c r="D113" s="20"/>
      <c r="E113" s="15" t="str">
        <f>IFERROR(VLOOKUP(D113,Assumption!$B$69:$C$80,2,0),"")</f>
        <v/>
      </c>
      <c r="F113" s="20"/>
      <c r="G113" s="20"/>
      <c r="H113" s="21"/>
      <c r="I113" s="21"/>
      <c r="J113" s="5"/>
      <c r="K113" s="22"/>
      <c r="L113" s="22"/>
      <c r="M113" s="20"/>
      <c r="N113" s="23" t="str">
        <f>IF(OR($F113&lt;&gt;"TRUC_DEM",$H113=""),"",(HOUR($H113)+MINUTE($H113)/60)+IF((HOUR($H113)+MINUTE($H113)/60)&lt;moc_chia_ngay,24,0))</f>
        <v/>
      </c>
      <c r="O113" s="23" t="str">
        <f>IF(OR($F113&lt;&gt;"TRUC_DEM",$I113=""),"",(HOUR($I113)+MINUTE($I113)/60)+IF((HOUR($I113)+MINUTE($I113)/60)&lt;moc_chia_ngay,24,0))</f>
        <v/>
      </c>
      <c r="P113" s="17" t="str">
        <f>IF($N113="","",MAX(0,MIN($O113,moc_loi_tu)-MAX($N113,moc_dem_tu))+MAX(0,MIN($O113,moc_dem_den)-MAX($N113,moc_loi_den)))</f>
        <v/>
      </c>
      <c r="Q113" s="17" t="str">
        <f>IF($N113="","",MAX(0,MIN($O113,moc_loi_den)-MAX($N113,moc_loi_tu)))</f>
        <v/>
      </c>
      <c r="R113" s="17" t="str">
        <f t="shared" si="5"/>
        <v/>
      </c>
      <c r="S113" s="4" t="str">
        <f t="shared" si="6"/>
        <v/>
      </c>
      <c r="T113" s="6">
        <f>IF($N113="",0,($P113*rate_gio_bien+$Q113*rate_gio_loi)*IF($G113="Lễ",he_so_le,1))</f>
        <v>0</v>
      </c>
      <c r="U113" s="6">
        <f>IF($N113="",0,IF($S113="Blaze",bca_blaze,IF($S113="Spark",bca_spark,0))*IF($G113="Lễ",he_so_le,1))</f>
        <v>0</v>
      </c>
      <c r="V113" s="24">
        <f t="shared" si="7"/>
        <v>0</v>
      </c>
      <c r="W113" s="24">
        <f>IF(OR($F113&lt;&gt;"OPS",$H113=""),0,ROUND(IF(AND($H113&gt;=TIME(6,0,0),$H113&lt;TIME(8,0,0)),ops_0600_0800,IF(AND($H113&gt;=TIME(8,0,0),$H113&lt;TIME(18,0,0)),ops_0800_1800,IF(AND($H113&gt;=TIME(18,0,0),$H113&lt;TIME(22,0,0)),ops_1800_2200,IF(OR($H113&gt;=TIME(22,0,0),$H113&lt;TIME(1,0,0)),ops_2200_0100,IF(AND($H113&gt;=TIME(1,0,0),$H113&lt;TIME(6,0,0)),ops_0100_0600,0)))))+IF($G113="Lễ",ops_phu_troi_le,0),0))</f>
        <v>0</v>
      </c>
      <c r="X113" s="16">
        <f t="shared" si="8"/>
        <v>0</v>
      </c>
      <c r="Y113" s="6" t="str">
        <f>IF(OR($F113&lt;&gt;"OPS",$K113=""),"",IF($K113&lt;=ops_kg_1nguoi,1,ops_nguoi_toi_da))</f>
        <v/>
      </c>
      <c r="Z113" s="15" t="str">
        <f t="shared" si="9"/>
        <v/>
      </c>
      <c r="AA113" s="5"/>
    </row>
    <row r="114" spans="2:27">
      <c r="B114" s="6" t="str">
        <f>IF($D114="","",109)</f>
        <v/>
      </c>
      <c r="C114" s="19"/>
      <c r="D114" s="20"/>
      <c r="E114" s="15" t="str">
        <f>IFERROR(VLOOKUP(D114,Assumption!$B$69:$C$80,2,0),"")</f>
        <v/>
      </c>
      <c r="F114" s="20"/>
      <c r="G114" s="20"/>
      <c r="H114" s="21"/>
      <c r="I114" s="21"/>
      <c r="J114" s="5"/>
      <c r="K114" s="22"/>
      <c r="L114" s="22"/>
      <c r="M114" s="20"/>
      <c r="N114" s="23" t="str">
        <f>IF(OR($F114&lt;&gt;"TRUC_DEM",$H114=""),"",(HOUR($H114)+MINUTE($H114)/60)+IF((HOUR($H114)+MINUTE($H114)/60)&lt;moc_chia_ngay,24,0))</f>
        <v/>
      </c>
      <c r="O114" s="23" t="str">
        <f>IF(OR($F114&lt;&gt;"TRUC_DEM",$I114=""),"",(HOUR($I114)+MINUTE($I114)/60)+IF((HOUR($I114)+MINUTE($I114)/60)&lt;moc_chia_ngay,24,0))</f>
        <v/>
      </c>
      <c r="P114" s="17" t="str">
        <f>IF($N114="","",MAX(0,MIN($O114,moc_loi_tu)-MAX($N114,moc_dem_tu))+MAX(0,MIN($O114,moc_dem_den)-MAX($N114,moc_loi_den)))</f>
        <v/>
      </c>
      <c r="Q114" s="17" t="str">
        <f>IF($N114="","",MAX(0,MIN($O114,moc_loi_den)-MAX($N114,moc_loi_tu)))</f>
        <v/>
      </c>
      <c r="R114" s="17" t="str">
        <f t="shared" si="5"/>
        <v/>
      </c>
      <c r="S114" s="4" t="str">
        <f t="shared" si="6"/>
        <v/>
      </c>
      <c r="T114" s="6">
        <f>IF($N114="",0,($P114*rate_gio_bien+$Q114*rate_gio_loi)*IF($G114="Lễ",he_so_le,1))</f>
        <v>0</v>
      </c>
      <c r="U114" s="6">
        <f>IF($N114="",0,IF($S114="Blaze",bca_blaze,IF($S114="Spark",bca_spark,0))*IF($G114="Lễ",he_so_le,1))</f>
        <v>0</v>
      </c>
      <c r="V114" s="24">
        <f t="shared" si="7"/>
        <v>0</v>
      </c>
      <c r="W114" s="24">
        <f>IF(OR($F114&lt;&gt;"OPS",$H114=""),0,ROUND(IF(AND($H114&gt;=TIME(6,0,0),$H114&lt;TIME(8,0,0)),ops_0600_0800,IF(AND($H114&gt;=TIME(8,0,0),$H114&lt;TIME(18,0,0)),ops_0800_1800,IF(AND($H114&gt;=TIME(18,0,0),$H114&lt;TIME(22,0,0)),ops_1800_2200,IF(OR($H114&gt;=TIME(22,0,0),$H114&lt;TIME(1,0,0)),ops_2200_0100,IF(AND($H114&gt;=TIME(1,0,0),$H114&lt;TIME(6,0,0)),ops_0100_0600,0)))))+IF($G114="Lễ",ops_phu_troi_le,0),0))</f>
        <v>0</v>
      </c>
      <c r="X114" s="16">
        <f t="shared" si="8"/>
        <v>0</v>
      </c>
      <c r="Y114" s="6" t="str">
        <f>IF(OR($F114&lt;&gt;"OPS",$K114=""),"",IF($K114&lt;=ops_kg_1nguoi,1,ops_nguoi_toi_da))</f>
        <v/>
      </c>
      <c r="Z114" s="15" t="str">
        <f t="shared" si="9"/>
        <v/>
      </c>
      <c r="AA114" s="5"/>
    </row>
    <row r="115" spans="2:27">
      <c r="B115" s="6" t="str">
        <f>IF($D115="","",110)</f>
        <v/>
      </c>
      <c r="C115" s="19"/>
      <c r="D115" s="20"/>
      <c r="E115" s="15" t="str">
        <f>IFERROR(VLOOKUP(D115,Assumption!$B$69:$C$80,2,0),"")</f>
        <v/>
      </c>
      <c r="F115" s="20"/>
      <c r="G115" s="20"/>
      <c r="H115" s="21"/>
      <c r="I115" s="21"/>
      <c r="J115" s="5"/>
      <c r="K115" s="22"/>
      <c r="L115" s="22"/>
      <c r="M115" s="20"/>
      <c r="N115" s="23" t="str">
        <f>IF(OR($F115&lt;&gt;"TRUC_DEM",$H115=""),"",(HOUR($H115)+MINUTE($H115)/60)+IF((HOUR($H115)+MINUTE($H115)/60)&lt;moc_chia_ngay,24,0))</f>
        <v/>
      </c>
      <c r="O115" s="23" t="str">
        <f>IF(OR($F115&lt;&gt;"TRUC_DEM",$I115=""),"",(HOUR($I115)+MINUTE($I115)/60)+IF((HOUR($I115)+MINUTE($I115)/60)&lt;moc_chia_ngay,24,0))</f>
        <v/>
      </c>
      <c r="P115" s="17" t="str">
        <f>IF($N115="","",MAX(0,MIN($O115,moc_loi_tu)-MAX($N115,moc_dem_tu))+MAX(0,MIN($O115,moc_dem_den)-MAX($N115,moc_loi_den)))</f>
        <v/>
      </c>
      <c r="Q115" s="17" t="str">
        <f>IF($N115="","",MAX(0,MIN($O115,moc_loi_den)-MAX($N115,moc_loi_tu)))</f>
        <v/>
      </c>
      <c r="R115" s="17" t="str">
        <f t="shared" si="5"/>
        <v/>
      </c>
      <c r="S115" s="4" t="str">
        <f t="shared" si="6"/>
        <v/>
      </c>
      <c r="T115" s="6">
        <f>IF($N115="",0,($P115*rate_gio_bien+$Q115*rate_gio_loi)*IF($G115="Lễ",he_so_le,1))</f>
        <v>0</v>
      </c>
      <c r="U115" s="6">
        <f>IF($N115="",0,IF($S115="Blaze",bca_blaze,IF($S115="Spark",bca_spark,0))*IF($G115="Lễ",he_so_le,1))</f>
        <v>0</v>
      </c>
      <c r="V115" s="24">
        <f t="shared" si="7"/>
        <v>0</v>
      </c>
      <c r="W115" s="24">
        <f>IF(OR($F115&lt;&gt;"OPS",$H115=""),0,ROUND(IF(AND($H115&gt;=TIME(6,0,0),$H115&lt;TIME(8,0,0)),ops_0600_0800,IF(AND($H115&gt;=TIME(8,0,0),$H115&lt;TIME(18,0,0)),ops_0800_1800,IF(AND($H115&gt;=TIME(18,0,0),$H115&lt;TIME(22,0,0)),ops_1800_2200,IF(OR($H115&gt;=TIME(22,0,0),$H115&lt;TIME(1,0,0)),ops_2200_0100,IF(AND($H115&gt;=TIME(1,0,0),$H115&lt;TIME(6,0,0)),ops_0100_0600,0)))))+IF($G115="Lễ",ops_phu_troi_le,0),0))</f>
        <v>0</v>
      </c>
      <c r="X115" s="16">
        <f t="shared" si="8"/>
        <v>0</v>
      </c>
      <c r="Y115" s="6" t="str">
        <f>IF(OR($F115&lt;&gt;"OPS",$K115=""),"",IF($K115&lt;=ops_kg_1nguoi,1,ops_nguoi_toi_da))</f>
        <v/>
      </c>
      <c r="Z115" s="15" t="str">
        <f t="shared" si="9"/>
        <v/>
      </c>
      <c r="AA115" s="5"/>
    </row>
    <row r="116" spans="2:27">
      <c r="B116" s="6" t="str">
        <f>IF($D116="","",111)</f>
        <v/>
      </c>
      <c r="C116" s="19"/>
      <c r="D116" s="20"/>
      <c r="E116" s="15" t="str">
        <f>IFERROR(VLOOKUP(D116,Assumption!$B$69:$C$80,2,0),"")</f>
        <v/>
      </c>
      <c r="F116" s="20"/>
      <c r="G116" s="20"/>
      <c r="H116" s="21"/>
      <c r="I116" s="21"/>
      <c r="J116" s="5"/>
      <c r="K116" s="22"/>
      <c r="L116" s="22"/>
      <c r="M116" s="20"/>
      <c r="N116" s="23" t="str">
        <f>IF(OR($F116&lt;&gt;"TRUC_DEM",$H116=""),"",(HOUR($H116)+MINUTE($H116)/60)+IF((HOUR($H116)+MINUTE($H116)/60)&lt;moc_chia_ngay,24,0))</f>
        <v/>
      </c>
      <c r="O116" s="23" t="str">
        <f>IF(OR($F116&lt;&gt;"TRUC_DEM",$I116=""),"",(HOUR($I116)+MINUTE($I116)/60)+IF((HOUR($I116)+MINUTE($I116)/60)&lt;moc_chia_ngay,24,0))</f>
        <v/>
      </c>
      <c r="P116" s="17" t="str">
        <f>IF($N116="","",MAX(0,MIN($O116,moc_loi_tu)-MAX($N116,moc_dem_tu))+MAX(0,MIN($O116,moc_dem_den)-MAX($N116,moc_loi_den)))</f>
        <v/>
      </c>
      <c r="Q116" s="17" t="str">
        <f>IF($N116="","",MAX(0,MIN($O116,moc_loi_den)-MAX($N116,moc_loi_tu)))</f>
        <v/>
      </c>
      <c r="R116" s="17" t="str">
        <f t="shared" si="5"/>
        <v/>
      </c>
      <c r="S116" s="4" t="str">
        <f t="shared" si="6"/>
        <v/>
      </c>
      <c r="T116" s="6">
        <f>IF($N116="",0,($P116*rate_gio_bien+$Q116*rate_gio_loi)*IF($G116="Lễ",he_so_le,1))</f>
        <v>0</v>
      </c>
      <c r="U116" s="6">
        <f>IF($N116="",0,IF($S116="Blaze",bca_blaze,IF($S116="Spark",bca_spark,0))*IF($G116="Lễ",he_so_le,1))</f>
        <v>0</v>
      </c>
      <c r="V116" s="24">
        <f t="shared" si="7"/>
        <v>0</v>
      </c>
      <c r="W116" s="24">
        <f>IF(OR($F116&lt;&gt;"OPS",$H116=""),0,ROUND(IF(AND($H116&gt;=TIME(6,0,0),$H116&lt;TIME(8,0,0)),ops_0600_0800,IF(AND($H116&gt;=TIME(8,0,0),$H116&lt;TIME(18,0,0)),ops_0800_1800,IF(AND($H116&gt;=TIME(18,0,0),$H116&lt;TIME(22,0,0)),ops_1800_2200,IF(OR($H116&gt;=TIME(22,0,0),$H116&lt;TIME(1,0,0)),ops_2200_0100,IF(AND($H116&gt;=TIME(1,0,0),$H116&lt;TIME(6,0,0)),ops_0100_0600,0)))))+IF($G116="Lễ",ops_phu_troi_le,0),0))</f>
        <v>0</v>
      </c>
      <c r="X116" s="16">
        <f t="shared" si="8"/>
        <v>0</v>
      </c>
      <c r="Y116" s="6" t="str">
        <f>IF(OR($F116&lt;&gt;"OPS",$K116=""),"",IF($K116&lt;=ops_kg_1nguoi,1,ops_nguoi_toi_da))</f>
        <v/>
      </c>
      <c r="Z116" s="15" t="str">
        <f t="shared" si="9"/>
        <v/>
      </c>
      <c r="AA116" s="5"/>
    </row>
    <row r="117" spans="2:27">
      <c r="B117" s="6" t="str">
        <f>IF($D117="","",112)</f>
        <v/>
      </c>
      <c r="C117" s="19"/>
      <c r="D117" s="20"/>
      <c r="E117" s="15" t="str">
        <f>IFERROR(VLOOKUP(D117,Assumption!$B$69:$C$80,2,0),"")</f>
        <v/>
      </c>
      <c r="F117" s="20"/>
      <c r="G117" s="20"/>
      <c r="H117" s="21"/>
      <c r="I117" s="21"/>
      <c r="J117" s="5"/>
      <c r="K117" s="22"/>
      <c r="L117" s="22"/>
      <c r="M117" s="20"/>
      <c r="N117" s="23" t="str">
        <f>IF(OR($F117&lt;&gt;"TRUC_DEM",$H117=""),"",(HOUR($H117)+MINUTE($H117)/60)+IF((HOUR($H117)+MINUTE($H117)/60)&lt;moc_chia_ngay,24,0))</f>
        <v/>
      </c>
      <c r="O117" s="23" t="str">
        <f>IF(OR($F117&lt;&gt;"TRUC_DEM",$I117=""),"",(HOUR($I117)+MINUTE($I117)/60)+IF((HOUR($I117)+MINUTE($I117)/60)&lt;moc_chia_ngay,24,0))</f>
        <v/>
      </c>
      <c r="P117" s="17" t="str">
        <f>IF($N117="","",MAX(0,MIN($O117,moc_loi_tu)-MAX($N117,moc_dem_tu))+MAX(0,MIN($O117,moc_dem_den)-MAX($N117,moc_loi_den)))</f>
        <v/>
      </c>
      <c r="Q117" s="17" t="str">
        <f>IF($N117="","",MAX(0,MIN($O117,moc_loi_den)-MAX($N117,moc_loi_tu)))</f>
        <v/>
      </c>
      <c r="R117" s="17" t="str">
        <f t="shared" si="5"/>
        <v/>
      </c>
      <c r="S117" s="4" t="str">
        <f t="shared" si="6"/>
        <v/>
      </c>
      <c r="T117" s="6">
        <f>IF($N117="",0,($P117*rate_gio_bien+$Q117*rate_gio_loi)*IF($G117="Lễ",he_so_le,1))</f>
        <v>0</v>
      </c>
      <c r="U117" s="6">
        <f>IF($N117="",0,IF($S117="Blaze",bca_blaze,IF($S117="Spark",bca_spark,0))*IF($G117="Lễ",he_so_le,1))</f>
        <v>0</v>
      </c>
      <c r="V117" s="24">
        <f t="shared" si="7"/>
        <v>0</v>
      </c>
      <c r="W117" s="24">
        <f>IF(OR($F117&lt;&gt;"OPS",$H117=""),0,ROUND(IF(AND($H117&gt;=TIME(6,0,0),$H117&lt;TIME(8,0,0)),ops_0600_0800,IF(AND($H117&gt;=TIME(8,0,0),$H117&lt;TIME(18,0,0)),ops_0800_1800,IF(AND($H117&gt;=TIME(18,0,0),$H117&lt;TIME(22,0,0)),ops_1800_2200,IF(OR($H117&gt;=TIME(22,0,0),$H117&lt;TIME(1,0,0)),ops_2200_0100,IF(AND($H117&gt;=TIME(1,0,0),$H117&lt;TIME(6,0,0)),ops_0100_0600,0)))))+IF($G117="Lễ",ops_phu_troi_le,0),0))</f>
        <v>0</v>
      </c>
      <c r="X117" s="16">
        <f t="shared" si="8"/>
        <v>0</v>
      </c>
      <c r="Y117" s="6" t="str">
        <f>IF(OR($F117&lt;&gt;"OPS",$K117=""),"",IF($K117&lt;=ops_kg_1nguoi,1,ops_nguoi_toi_da))</f>
        <v/>
      </c>
      <c r="Z117" s="15" t="str">
        <f t="shared" si="9"/>
        <v/>
      </c>
      <c r="AA117" s="5"/>
    </row>
    <row r="118" spans="2:27">
      <c r="B118" s="6" t="str">
        <f>IF($D118="","",113)</f>
        <v/>
      </c>
      <c r="C118" s="19"/>
      <c r="D118" s="20"/>
      <c r="E118" s="15" t="str">
        <f>IFERROR(VLOOKUP(D118,Assumption!$B$69:$C$80,2,0),"")</f>
        <v/>
      </c>
      <c r="F118" s="20"/>
      <c r="G118" s="20"/>
      <c r="H118" s="21"/>
      <c r="I118" s="21"/>
      <c r="J118" s="5"/>
      <c r="K118" s="22"/>
      <c r="L118" s="22"/>
      <c r="M118" s="20"/>
      <c r="N118" s="23" t="str">
        <f>IF(OR($F118&lt;&gt;"TRUC_DEM",$H118=""),"",(HOUR($H118)+MINUTE($H118)/60)+IF((HOUR($H118)+MINUTE($H118)/60)&lt;moc_chia_ngay,24,0))</f>
        <v/>
      </c>
      <c r="O118" s="23" t="str">
        <f>IF(OR($F118&lt;&gt;"TRUC_DEM",$I118=""),"",(HOUR($I118)+MINUTE($I118)/60)+IF((HOUR($I118)+MINUTE($I118)/60)&lt;moc_chia_ngay,24,0))</f>
        <v/>
      </c>
      <c r="P118" s="17" t="str">
        <f>IF($N118="","",MAX(0,MIN($O118,moc_loi_tu)-MAX($N118,moc_dem_tu))+MAX(0,MIN($O118,moc_dem_den)-MAX($N118,moc_loi_den)))</f>
        <v/>
      </c>
      <c r="Q118" s="17" t="str">
        <f>IF($N118="","",MAX(0,MIN($O118,moc_loi_den)-MAX($N118,moc_loi_tu)))</f>
        <v/>
      </c>
      <c r="R118" s="17" t="str">
        <f t="shared" si="5"/>
        <v/>
      </c>
      <c r="S118" s="4" t="str">
        <f t="shared" si="6"/>
        <v/>
      </c>
      <c r="T118" s="6">
        <f>IF($N118="",0,($P118*rate_gio_bien+$Q118*rate_gio_loi)*IF($G118="Lễ",he_so_le,1))</f>
        <v>0</v>
      </c>
      <c r="U118" s="6">
        <f>IF($N118="",0,IF($S118="Blaze",bca_blaze,IF($S118="Spark",bca_spark,0))*IF($G118="Lễ",he_so_le,1))</f>
        <v>0</v>
      </c>
      <c r="V118" s="24">
        <f t="shared" si="7"/>
        <v>0</v>
      </c>
      <c r="W118" s="24">
        <f>IF(OR($F118&lt;&gt;"OPS",$H118=""),0,ROUND(IF(AND($H118&gt;=TIME(6,0,0),$H118&lt;TIME(8,0,0)),ops_0600_0800,IF(AND($H118&gt;=TIME(8,0,0),$H118&lt;TIME(18,0,0)),ops_0800_1800,IF(AND($H118&gt;=TIME(18,0,0),$H118&lt;TIME(22,0,0)),ops_1800_2200,IF(OR($H118&gt;=TIME(22,0,0),$H118&lt;TIME(1,0,0)),ops_2200_0100,IF(AND($H118&gt;=TIME(1,0,0),$H118&lt;TIME(6,0,0)),ops_0100_0600,0)))))+IF($G118="Lễ",ops_phu_troi_le,0),0))</f>
        <v>0</v>
      </c>
      <c r="X118" s="16">
        <f t="shared" si="8"/>
        <v>0</v>
      </c>
      <c r="Y118" s="6" t="str">
        <f>IF(OR($F118&lt;&gt;"OPS",$K118=""),"",IF($K118&lt;=ops_kg_1nguoi,1,ops_nguoi_toi_da))</f>
        <v/>
      </c>
      <c r="Z118" s="15" t="str">
        <f t="shared" si="9"/>
        <v/>
      </c>
      <c r="AA118" s="5"/>
    </row>
    <row r="119" spans="2:27">
      <c r="B119" s="6" t="str">
        <f>IF($D119="","",114)</f>
        <v/>
      </c>
      <c r="C119" s="19"/>
      <c r="D119" s="20"/>
      <c r="E119" s="15" t="str">
        <f>IFERROR(VLOOKUP(D119,Assumption!$B$69:$C$80,2,0),"")</f>
        <v/>
      </c>
      <c r="F119" s="20"/>
      <c r="G119" s="20"/>
      <c r="H119" s="21"/>
      <c r="I119" s="21"/>
      <c r="J119" s="5"/>
      <c r="K119" s="22"/>
      <c r="L119" s="22"/>
      <c r="M119" s="20"/>
      <c r="N119" s="23" t="str">
        <f>IF(OR($F119&lt;&gt;"TRUC_DEM",$H119=""),"",(HOUR($H119)+MINUTE($H119)/60)+IF((HOUR($H119)+MINUTE($H119)/60)&lt;moc_chia_ngay,24,0))</f>
        <v/>
      </c>
      <c r="O119" s="23" t="str">
        <f>IF(OR($F119&lt;&gt;"TRUC_DEM",$I119=""),"",(HOUR($I119)+MINUTE($I119)/60)+IF((HOUR($I119)+MINUTE($I119)/60)&lt;moc_chia_ngay,24,0))</f>
        <v/>
      </c>
      <c r="P119" s="17" t="str">
        <f>IF($N119="","",MAX(0,MIN($O119,moc_loi_tu)-MAX($N119,moc_dem_tu))+MAX(0,MIN($O119,moc_dem_den)-MAX($N119,moc_loi_den)))</f>
        <v/>
      </c>
      <c r="Q119" s="17" t="str">
        <f>IF($N119="","",MAX(0,MIN($O119,moc_loi_den)-MAX($N119,moc_loi_tu)))</f>
        <v/>
      </c>
      <c r="R119" s="17" t="str">
        <f t="shared" si="5"/>
        <v/>
      </c>
      <c r="S119" s="4" t="str">
        <f t="shared" si="6"/>
        <v/>
      </c>
      <c r="T119" s="6">
        <f>IF($N119="",0,($P119*rate_gio_bien+$Q119*rate_gio_loi)*IF($G119="Lễ",he_so_le,1))</f>
        <v>0</v>
      </c>
      <c r="U119" s="6">
        <f>IF($N119="",0,IF($S119="Blaze",bca_blaze,IF($S119="Spark",bca_spark,0))*IF($G119="Lễ",he_so_le,1))</f>
        <v>0</v>
      </c>
      <c r="V119" s="24">
        <f t="shared" si="7"/>
        <v>0</v>
      </c>
      <c r="W119" s="24">
        <f>IF(OR($F119&lt;&gt;"OPS",$H119=""),0,ROUND(IF(AND($H119&gt;=TIME(6,0,0),$H119&lt;TIME(8,0,0)),ops_0600_0800,IF(AND($H119&gt;=TIME(8,0,0),$H119&lt;TIME(18,0,0)),ops_0800_1800,IF(AND($H119&gt;=TIME(18,0,0),$H119&lt;TIME(22,0,0)),ops_1800_2200,IF(OR($H119&gt;=TIME(22,0,0),$H119&lt;TIME(1,0,0)),ops_2200_0100,IF(AND($H119&gt;=TIME(1,0,0),$H119&lt;TIME(6,0,0)),ops_0100_0600,0)))))+IF($G119="Lễ",ops_phu_troi_le,0),0))</f>
        <v>0</v>
      </c>
      <c r="X119" s="16">
        <f t="shared" si="8"/>
        <v>0</v>
      </c>
      <c r="Y119" s="6" t="str">
        <f>IF(OR($F119&lt;&gt;"OPS",$K119=""),"",IF($K119&lt;=ops_kg_1nguoi,1,ops_nguoi_toi_da))</f>
        <v/>
      </c>
      <c r="Z119" s="15" t="str">
        <f t="shared" si="9"/>
        <v/>
      </c>
      <c r="AA119" s="5"/>
    </row>
    <row r="120" spans="2:27">
      <c r="B120" s="6" t="str">
        <f>IF($D120="","",115)</f>
        <v/>
      </c>
      <c r="C120" s="19"/>
      <c r="D120" s="20"/>
      <c r="E120" s="15" t="str">
        <f>IFERROR(VLOOKUP(D120,Assumption!$B$69:$C$80,2,0),"")</f>
        <v/>
      </c>
      <c r="F120" s="20"/>
      <c r="G120" s="20"/>
      <c r="H120" s="21"/>
      <c r="I120" s="21"/>
      <c r="J120" s="5"/>
      <c r="K120" s="22"/>
      <c r="L120" s="22"/>
      <c r="M120" s="20"/>
      <c r="N120" s="23" t="str">
        <f>IF(OR($F120&lt;&gt;"TRUC_DEM",$H120=""),"",(HOUR($H120)+MINUTE($H120)/60)+IF((HOUR($H120)+MINUTE($H120)/60)&lt;moc_chia_ngay,24,0))</f>
        <v/>
      </c>
      <c r="O120" s="23" t="str">
        <f>IF(OR($F120&lt;&gt;"TRUC_DEM",$I120=""),"",(HOUR($I120)+MINUTE($I120)/60)+IF((HOUR($I120)+MINUTE($I120)/60)&lt;moc_chia_ngay,24,0))</f>
        <v/>
      </c>
      <c r="P120" s="17" t="str">
        <f>IF($N120="","",MAX(0,MIN($O120,moc_loi_tu)-MAX($N120,moc_dem_tu))+MAX(0,MIN($O120,moc_dem_den)-MAX($N120,moc_loi_den)))</f>
        <v/>
      </c>
      <c r="Q120" s="17" t="str">
        <f>IF($N120="","",MAX(0,MIN($O120,moc_loi_den)-MAX($N120,moc_loi_tu)))</f>
        <v/>
      </c>
      <c r="R120" s="17" t="str">
        <f t="shared" si="5"/>
        <v/>
      </c>
      <c r="S120" s="4" t="str">
        <f t="shared" si="6"/>
        <v/>
      </c>
      <c r="T120" s="6">
        <f>IF($N120="",0,($P120*rate_gio_bien+$Q120*rate_gio_loi)*IF($G120="Lễ",he_so_le,1))</f>
        <v>0</v>
      </c>
      <c r="U120" s="6">
        <f>IF($N120="",0,IF($S120="Blaze",bca_blaze,IF($S120="Spark",bca_spark,0))*IF($G120="Lễ",he_so_le,1))</f>
        <v>0</v>
      </c>
      <c r="V120" s="24">
        <f t="shared" si="7"/>
        <v>0</v>
      </c>
      <c r="W120" s="24">
        <f>IF(OR($F120&lt;&gt;"OPS",$H120=""),0,ROUND(IF(AND($H120&gt;=TIME(6,0,0),$H120&lt;TIME(8,0,0)),ops_0600_0800,IF(AND($H120&gt;=TIME(8,0,0),$H120&lt;TIME(18,0,0)),ops_0800_1800,IF(AND($H120&gt;=TIME(18,0,0),$H120&lt;TIME(22,0,0)),ops_1800_2200,IF(OR($H120&gt;=TIME(22,0,0),$H120&lt;TIME(1,0,0)),ops_2200_0100,IF(AND($H120&gt;=TIME(1,0,0),$H120&lt;TIME(6,0,0)),ops_0100_0600,0)))))+IF($G120="Lễ",ops_phu_troi_le,0),0))</f>
        <v>0</v>
      </c>
      <c r="X120" s="16">
        <f t="shared" si="8"/>
        <v>0</v>
      </c>
      <c r="Y120" s="6" t="str">
        <f>IF(OR($F120&lt;&gt;"OPS",$K120=""),"",IF($K120&lt;=ops_kg_1nguoi,1,ops_nguoi_toi_da))</f>
        <v/>
      </c>
      <c r="Z120" s="15" t="str">
        <f t="shared" si="9"/>
        <v/>
      </c>
      <c r="AA120" s="5"/>
    </row>
    <row r="121" spans="2:27">
      <c r="B121" s="6" t="str">
        <f>IF($D121="","",116)</f>
        <v/>
      </c>
      <c r="C121" s="19"/>
      <c r="D121" s="20"/>
      <c r="E121" s="15" t="str">
        <f>IFERROR(VLOOKUP(D121,Assumption!$B$69:$C$80,2,0),"")</f>
        <v/>
      </c>
      <c r="F121" s="20"/>
      <c r="G121" s="20"/>
      <c r="H121" s="21"/>
      <c r="I121" s="21"/>
      <c r="J121" s="5"/>
      <c r="K121" s="22"/>
      <c r="L121" s="22"/>
      <c r="M121" s="20"/>
      <c r="N121" s="23" t="str">
        <f>IF(OR($F121&lt;&gt;"TRUC_DEM",$H121=""),"",(HOUR($H121)+MINUTE($H121)/60)+IF((HOUR($H121)+MINUTE($H121)/60)&lt;moc_chia_ngay,24,0))</f>
        <v/>
      </c>
      <c r="O121" s="23" t="str">
        <f>IF(OR($F121&lt;&gt;"TRUC_DEM",$I121=""),"",(HOUR($I121)+MINUTE($I121)/60)+IF((HOUR($I121)+MINUTE($I121)/60)&lt;moc_chia_ngay,24,0))</f>
        <v/>
      </c>
      <c r="P121" s="17" t="str">
        <f>IF($N121="","",MAX(0,MIN($O121,moc_loi_tu)-MAX($N121,moc_dem_tu))+MAX(0,MIN($O121,moc_dem_den)-MAX($N121,moc_loi_den)))</f>
        <v/>
      </c>
      <c r="Q121" s="17" t="str">
        <f>IF($N121="","",MAX(0,MIN($O121,moc_loi_den)-MAX($N121,moc_loi_tu)))</f>
        <v/>
      </c>
      <c r="R121" s="17" t="str">
        <f t="shared" si="5"/>
        <v/>
      </c>
      <c r="S121" s="4" t="str">
        <f t="shared" si="6"/>
        <v/>
      </c>
      <c r="T121" s="6">
        <f>IF($N121="",0,($P121*rate_gio_bien+$Q121*rate_gio_loi)*IF($G121="Lễ",he_so_le,1))</f>
        <v>0</v>
      </c>
      <c r="U121" s="6">
        <f>IF($N121="",0,IF($S121="Blaze",bca_blaze,IF($S121="Spark",bca_spark,0))*IF($G121="Lễ",he_so_le,1))</f>
        <v>0</v>
      </c>
      <c r="V121" s="24">
        <f t="shared" si="7"/>
        <v>0</v>
      </c>
      <c r="W121" s="24">
        <f>IF(OR($F121&lt;&gt;"OPS",$H121=""),0,ROUND(IF(AND($H121&gt;=TIME(6,0,0),$H121&lt;TIME(8,0,0)),ops_0600_0800,IF(AND($H121&gt;=TIME(8,0,0),$H121&lt;TIME(18,0,0)),ops_0800_1800,IF(AND($H121&gt;=TIME(18,0,0),$H121&lt;TIME(22,0,0)),ops_1800_2200,IF(OR($H121&gt;=TIME(22,0,0),$H121&lt;TIME(1,0,0)),ops_2200_0100,IF(AND($H121&gt;=TIME(1,0,0),$H121&lt;TIME(6,0,0)),ops_0100_0600,0)))))+IF($G121="Lễ",ops_phu_troi_le,0),0))</f>
        <v>0</v>
      </c>
      <c r="X121" s="16">
        <f t="shared" si="8"/>
        <v>0</v>
      </c>
      <c r="Y121" s="6" t="str">
        <f>IF(OR($F121&lt;&gt;"OPS",$K121=""),"",IF($K121&lt;=ops_kg_1nguoi,1,ops_nguoi_toi_da))</f>
        <v/>
      </c>
      <c r="Z121" s="15" t="str">
        <f t="shared" si="9"/>
        <v/>
      </c>
      <c r="AA121" s="5"/>
    </row>
    <row r="122" spans="2:27">
      <c r="B122" s="6" t="str">
        <f>IF($D122="","",117)</f>
        <v/>
      </c>
      <c r="C122" s="19"/>
      <c r="D122" s="20"/>
      <c r="E122" s="15" t="str">
        <f>IFERROR(VLOOKUP(D122,Assumption!$B$69:$C$80,2,0),"")</f>
        <v/>
      </c>
      <c r="F122" s="20"/>
      <c r="G122" s="20"/>
      <c r="H122" s="21"/>
      <c r="I122" s="21"/>
      <c r="J122" s="5"/>
      <c r="K122" s="22"/>
      <c r="L122" s="22"/>
      <c r="M122" s="20"/>
      <c r="N122" s="23" t="str">
        <f>IF(OR($F122&lt;&gt;"TRUC_DEM",$H122=""),"",(HOUR($H122)+MINUTE($H122)/60)+IF((HOUR($H122)+MINUTE($H122)/60)&lt;moc_chia_ngay,24,0))</f>
        <v/>
      </c>
      <c r="O122" s="23" t="str">
        <f>IF(OR($F122&lt;&gt;"TRUC_DEM",$I122=""),"",(HOUR($I122)+MINUTE($I122)/60)+IF((HOUR($I122)+MINUTE($I122)/60)&lt;moc_chia_ngay,24,0))</f>
        <v/>
      </c>
      <c r="P122" s="17" t="str">
        <f>IF($N122="","",MAX(0,MIN($O122,moc_loi_tu)-MAX($N122,moc_dem_tu))+MAX(0,MIN($O122,moc_dem_den)-MAX($N122,moc_loi_den)))</f>
        <v/>
      </c>
      <c r="Q122" s="17" t="str">
        <f>IF($N122="","",MAX(0,MIN($O122,moc_loi_den)-MAX($N122,moc_loi_tu)))</f>
        <v/>
      </c>
      <c r="R122" s="17" t="str">
        <f t="shared" si="5"/>
        <v/>
      </c>
      <c r="S122" s="4" t="str">
        <f t="shared" si="6"/>
        <v/>
      </c>
      <c r="T122" s="6">
        <f>IF($N122="",0,($P122*rate_gio_bien+$Q122*rate_gio_loi)*IF($G122="Lễ",he_so_le,1))</f>
        <v>0</v>
      </c>
      <c r="U122" s="6">
        <f>IF($N122="",0,IF($S122="Blaze",bca_blaze,IF($S122="Spark",bca_spark,0))*IF($G122="Lễ",he_so_le,1))</f>
        <v>0</v>
      </c>
      <c r="V122" s="24">
        <f t="shared" si="7"/>
        <v>0</v>
      </c>
      <c r="W122" s="24">
        <f>IF(OR($F122&lt;&gt;"OPS",$H122=""),0,ROUND(IF(AND($H122&gt;=TIME(6,0,0),$H122&lt;TIME(8,0,0)),ops_0600_0800,IF(AND($H122&gt;=TIME(8,0,0),$H122&lt;TIME(18,0,0)),ops_0800_1800,IF(AND($H122&gt;=TIME(18,0,0),$H122&lt;TIME(22,0,0)),ops_1800_2200,IF(OR($H122&gt;=TIME(22,0,0),$H122&lt;TIME(1,0,0)),ops_2200_0100,IF(AND($H122&gt;=TIME(1,0,0),$H122&lt;TIME(6,0,0)),ops_0100_0600,0)))))+IF($G122="Lễ",ops_phu_troi_le,0),0))</f>
        <v>0</v>
      </c>
      <c r="X122" s="16">
        <f t="shared" si="8"/>
        <v>0</v>
      </c>
      <c r="Y122" s="6" t="str">
        <f>IF(OR($F122&lt;&gt;"OPS",$K122=""),"",IF($K122&lt;=ops_kg_1nguoi,1,ops_nguoi_toi_da))</f>
        <v/>
      </c>
      <c r="Z122" s="15" t="str">
        <f t="shared" si="9"/>
        <v/>
      </c>
      <c r="AA122" s="5"/>
    </row>
    <row r="123" spans="2:27">
      <c r="B123" s="6" t="str">
        <f>IF($D123="","",118)</f>
        <v/>
      </c>
      <c r="C123" s="19"/>
      <c r="D123" s="20"/>
      <c r="E123" s="15" t="str">
        <f>IFERROR(VLOOKUP(D123,Assumption!$B$69:$C$80,2,0),"")</f>
        <v/>
      </c>
      <c r="F123" s="20"/>
      <c r="G123" s="20"/>
      <c r="H123" s="21"/>
      <c r="I123" s="21"/>
      <c r="J123" s="5"/>
      <c r="K123" s="22"/>
      <c r="L123" s="22"/>
      <c r="M123" s="20"/>
      <c r="N123" s="23" t="str">
        <f>IF(OR($F123&lt;&gt;"TRUC_DEM",$H123=""),"",(HOUR($H123)+MINUTE($H123)/60)+IF((HOUR($H123)+MINUTE($H123)/60)&lt;moc_chia_ngay,24,0))</f>
        <v/>
      </c>
      <c r="O123" s="23" t="str">
        <f>IF(OR($F123&lt;&gt;"TRUC_DEM",$I123=""),"",(HOUR($I123)+MINUTE($I123)/60)+IF((HOUR($I123)+MINUTE($I123)/60)&lt;moc_chia_ngay,24,0))</f>
        <v/>
      </c>
      <c r="P123" s="17" t="str">
        <f>IF($N123="","",MAX(0,MIN($O123,moc_loi_tu)-MAX($N123,moc_dem_tu))+MAX(0,MIN($O123,moc_dem_den)-MAX($N123,moc_loi_den)))</f>
        <v/>
      </c>
      <c r="Q123" s="17" t="str">
        <f>IF($N123="","",MAX(0,MIN($O123,moc_loi_den)-MAX($N123,moc_loi_tu)))</f>
        <v/>
      </c>
      <c r="R123" s="17" t="str">
        <f t="shared" si="5"/>
        <v/>
      </c>
      <c r="S123" s="4" t="str">
        <f t="shared" si="6"/>
        <v/>
      </c>
      <c r="T123" s="6">
        <f>IF($N123="",0,($P123*rate_gio_bien+$Q123*rate_gio_loi)*IF($G123="Lễ",he_so_le,1))</f>
        <v>0</v>
      </c>
      <c r="U123" s="6">
        <f>IF($N123="",0,IF($S123="Blaze",bca_blaze,IF($S123="Spark",bca_spark,0))*IF($G123="Lễ",he_so_le,1))</f>
        <v>0</v>
      </c>
      <c r="V123" s="24">
        <f t="shared" si="7"/>
        <v>0</v>
      </c>
      <c r="W123" s="24">
        <f>IF(OR($F123&lt;&gt;"OPS",$H123=""),0,ROUND(IF(AND($H123&gt;=TIME(6,0,0),$H123&lt;TIME(8,0,0)),ops_0600_0800,IF(AND($H123&gt;=TIME(8,0,0),$H123&lt;TIME(18,0,0)),ops_0800_1800,IF(AND($H123&gt;=TIME(18,0,0),$H123&lt;TIME(22,0,0)),ops_1800_2200,IF(OR($H123&gt;=TIME(22,0,0),$H123&lt;TIME(1,0,0)),ops_2200_0100,IF(AND($H123&gt;=TIME(1,0,0),$H123&lt;TIME(6,0,0)),ops_0100_0600,0)))))+IF($G123="Lễ",ops_phu_troi_le,0),0))</f>
        <v>0</v>
      </c>
      <c r="X123" s="16">
        <f t="shared" si="8"/>
        <v>0</v>
      </c>
      <c r="Y123" s="6" t="str">
        <f>IF(OR($F123&lt;&gt;"OPS",$K123=""),"",IF($K123&lt;=ops_kg_1nguoi,1,ops_nguoi_toi_da))</f>
        <v/>
      </c>
      <c r="Z123" s="15" t="str">
        <f t="shared" si="9"/>
        <v/>
      </c>
      <c r="AA123" s="5"/>
    </row>
    <row r="124" spans="2:27">
      <c r="B124" s="6" t="str">
        <f>IF($D124="","",119)</f>
        <v/>
      </c>
      <c r="C124" s="19"/>
      <c r="D124" s="20"/>
      <c r="E124" s="15" t="str">
        <f>IFERROR(VLOOKUP(D124,Assumption!$B$69:$C$80,2,0),"")</f>
        <v/>
      </c>
      <c r="F124" s="20"/>
      <c r="G124" s="20"/>
      <c r="H124" s="21"/>
      <c r="I124" s="21"/>
      <c r="J124" s="5"/>
      <c r="K124" s="22"/>
      <c r="L124" s="22"/>
      <c r="M124" s="20"/>
      <c r="N124" s="23" t="str">
        <f>IF(OR($F124&lt;&gt;"TRUC_DEM",$H124=""),"",(HOUR($H124)+MINUTE($H124)/60)+IF((HOUR($H124)+MINUTE($H124)/60)&lt;moc_chia_ngay,24,0))</f>
        <v/>
      </c>
      <c r="O124" s="23" t="str">
        <f>IF(OR($F124&lt;&gt;"TRUC_DEM",$I124=""),"",(HOUR($I124)+MINUTE($I124)/60)+IF((HOUR($I124)+MINUTE($I124)/60)&lt;moc_chia_ngay,24,0))</f>
        <v/>
      </c>
      <c r="P124" s="17" t="str">
        <f>IF($N124="","",MAX(0,MIN($O124,moc_loi_tu)-MAX($N124,moc_dem_tu))+MAX(0,MIN($O124,moc_dem_den)-MAX($N124,moc_loi_den)))</f>
        <v/>
      </c>
      <c r="Q124" s="17" t="str">
        <f>IF($N124="","",MAX(0,MIN($O124,moc_loi_den)-MAX($N124,moc_loi_tu)))</f>
        <v/>
      </c>
      <c r="R124" s="17" t="str">
        <f t="shared" si="5"/>
        <v/>
      </c>
      <c r="S124" s="4" t="str">
        <f t="shared" si="6"/>
        <v/>
      </c>
      <c r="T124" s="6">
        <f>IF($N124="",0,($P124*rate_gio_bien+$Q124*rate_gio_loi)*IF($G124="Lễ",he_so_le,1))</f>
        <v>0</v>
      </c>
      <c r="U124" s="6">
        <f>IF($N124="",0,IF($S124="Blaze",bca_blaze,IF($S124="Spark",bca_spark,0))*IF($G124="Lễ",he_so_le,1))</f>
        <v>0</v>
      </c>
      <c r="V124" s="24">
        <f t="shared" si="7"/>
        <v>0</v>
      </c>
      <c r="W124" s="24">
        <f>IF(OR($F124&lt;&gt;"OPS",$H124=""),0,ROUND(IF(AND($H124&gt;=TIME(6,0,0),$H124&lt;TIME(8,0,0)),ops_0600_0800,IF(AND($H124&gt;=TIME(8,0,0),$H124&lt;TIME(18,0,0)),ops_0800_1800,IF(AND($H124&gt;=TIME(18,0,0),$H124&lt;TIME(22,0,0)),ops_1800_2200,IF(OR($H124&gt;=TIME(22,0,0),$H124&lt;TIME(1,0,0)),ops_2200_0100,IF(AND($H124&gt;=TIME(1,0,0),$H124&lt;TIME(6,0,0)),ops_0100_0600,0)))))+IF($G124="Lễ",ops_phu_troi_le,0),0))</f>
        <v>0</v>
      </c>
      <c r="X124" s="16">
        <f t="shared" si="8"/>
        <v>0</v>
      </c>
      <c r="Y124" s="6" t="str">
        <f>IF(OR($F124&lt;&gt;"OPS",$K124=""),"",IF($K124&lt;=ops_kg_1nguoi,1,ops_nguoi_toi_da))</f>
        <v/>
      </c>
      <c r="Z124" s="15" t="str">
        <f t="shared" si="9"/>
        <v/>
      </c>
      <c r="AA124" s="5"/>
    </row>
    <row r="125" spans="2:27">
      <c r="B125" s="6" t="str">
        <f>IF($D125="","",120)</f>
        <v/>
      </c>
      <c r="C125" s="19"/>
      <c r="D125" s="20"/>
      <c r="E125" s="15" t="str">
        <f>IFERROR(VLOOKUP(D125,Assumption!$B$69:$C$80,2,0),"")</f>
        <v/>
      </c>
      <c r="F125" s="20"/>
      <c r="G125" s="20"/>
      <c r="H125" s="21"/>
      <c r="I125" s="21"/>
      <c r="J125" s="5"/>
      <c r="K125" s="22"/>
      <c r="L125" s="22"/>
      <c r="M125" s="20"/>
      <c r="N125" s="23" t="str">
        <f>IF(OR($F125&lt;&gt;"TRUC_DEM",$H125=""),"",(HOUR($H125)+MINUTE($H125)/60)+IF((HOUR($H125)+MINUTE($H125)/60)&lt;moc_chia_ngay,24,0))</f>
        <v/>
      </c>
      <c r="O125" s="23" t="str">
        <f>IF(OR($F125&lt;&gt;"TRUC_DEM",$I125=""),"",(HOUR($I125)+MINUTE($I125)/60)+IF((HOUR($I125)+MINUTE($I125)/60)&lt;moc_chia_ngay,24,0))</f>
        <v/>
      </c>
      <c r="P125" s="17" t="str">
        <f>IF($N125="","",MAX(0,MIN($O125,moc_loi_tu)-MAX($N125,moc_dem_tu))+MAX(0,MIN($O125,moc_dem_den)-MAX($N125,moc_loi_den)))</f>
        <v/>
      </c>
      <c r="Q125" s="17" t="str">
        <f>IF($N125="","",MAX(0,MIN($O125,moc_loi_den)-MAX($N125,moc_loi_tu)))</f>
        <v/>
      </c>
      <c r="R125" s="17" t="str">
        <f t="shared" si="5"/>
        <v/>
      </c>
      <c r="S125" s="4" t="str">
        <f t="shared" si="6"/>
        <v/>
      </c>
      <c r="T125" s="6">
        <f>IF($N125="",0,($P125*rate_gio_bien+$Q125*rate_gio_loi)*IF($G125="Lễ",he_so_le,1))</f>
        <v>0</v>
      </c>
      <c r="U125" s="6">
        <f>IF($N125="",0,IF($S125="Blaze",bca_blaze,IF($S125="Spark",bca_spark,0))*IF($G125="Lễ",he_so_le,1))</f>
        <v>0</v>
      </c>
      <c r="V125" s="24">
        <f t="shared" si="7"/>
        <v>0</v>
      </c>
      <c r="W125" s="24">
        <f>IF(OR($F125&lt;&gt;"OPS",$H125=""),0,ROUND(IF(AND($H125&gt;=TIME(6,0,0),$H125&lt;TIME(8,0,0)),ops_0600_0800,IF(AND($H125&gt;=TIME(8,0,0),$H125&lt;TIME(18,0,0)),ops_0800_1800,IF(AND($H125&gt;=TIME(18,0,0),$H125&lt;TIME(22,0,0)),ops_1800_2200,IF(OR($H125&gt;=TIME(22,0,0),$H125&lt;TIME(1,0,0)),ops_2200_0100,IF(AND($H125&gt;=TIME(1,0,0),$H125&lt;TIME(6,0,0)),ops_0100_0600,0)))))+IF($G125="Lễ",ops_phu_troi_le,0),0))</f>
        <v>0</v>
      </c>
      <c r="X125" s="16">
        <f t="shared" si="8"/>
        <v>0</v>
      </c>
      <c r="Y125" s="6" t="str">
        <f>IF(OR($F125&lt;&gt;"OPS",$K125=""),"",IF($K125&lt;=ops_kg_1nguoi,1,ops_nguoi_toi_da))</f>
        <v/>
      </c>
      <c r="Z125" s="15" t="str">
        <f t="shared" si="9"/>
        <v/>
      </c>
      <c r="AA125" s="5"/>
    </row>
  </sheetData>
  <mergeCells count="1">
    <mergeCell ref="B3:P3"/>
  </mergeCells>
  <dataValidations count="3">
    <dataValidation type="list" allowBlank="1" sqref="F6:F125">
      <formula1>"TRUC_DEM,OPS"</formula1>
    </dataValidation>
    <dataValidation type="list" allowBlank="1" sqref="G6:G125">
      <formula1>"Thường,Lễ"</formula1>
    </dataValidation>
    <dataValidation type="time" operator="between" allowBlank="1" showInputMessage="1" showErrorMessage="1" errorTitle="Sai định dạng giờ" error="Nhập theo hệ 24 giờ: 22:30, 06:30, 00:00. Không dùng AM/PM, không gõ chữ." promptTitle="Hệ 24 giờ" prompt="Ví dụ: 22:30 · 02:30 · 06:30" sqref="H6:I125">
      <formula1>0</formula1>
      <formula2>1</formula2>
    </dataValidation>
  </dataValidations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17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H7" sqref="H7"/>
    </sheetView>
  </sheetViews>
  <sheetFormatPr defaultColWidth="9" defaultRowHeight="14.4"/>
  <cols>
    <col min="1" max="1" width="3" style="1" customWidth="1"/>
    <col min="2" max="2" width="12" style="1" customWidth="1"/>
    <col min="3" max="3" width="26" style="1" customWidth="1"/>
    <col min="4" max="4" width="10" style="1" customWidth="1"/>
    <col min="5" max="6" width="9" style="1" customWidth="1"/>
    <col min="7" max="11" width="10" style="1" customWidth="1"/>
    <col min="12" max="13" width="15" style="1" customWidth="1"/>
    <col min="14" max="14" width="17" style="1" customWidth="1"/>
    <col min="15" max="16384" width="9" style="1"/>
  </cols>
  <sheetData>
    <row r="2" ht="17.4" spans="2:14">
      <c r="B2" s="13" t="s">
        <v>189</v>
      </c>
    </row>
    <row r="4" spans="2:14">
      <c r="B4" s="14" t="s">
        <v>127</v>
      </c>
      <c r="C4" s="14" t="s">
        <v>128</v>
      </c>
      <c r="D4" s="14" t="s">
        <v>129</v>
      </c>
      <c r="E4" s="14" t="s">
        <v>190</v>
      </c>
      <c r="F4" s="14" t="s">
        <v>191</v>
      </c>
      <c r="G4" s="14" t="s">
        <v>178</v>
      </c>
      <c r="H4" s="14" t="s">
        <v>179</v>
      </c>
      <c r="I4" s="14" t="s">
        <v>180</v>
      </c>
      <c r="J4" s="14" t="s">
        <v>192</v>
      </c>
      <c r="K4" s="14" t="s">
        <v>193</v>
      </c>
      <c r="L4" s="14" t="s">
        <v>182</v>
      </c>
      <c r="M4" s="14" t="s">
        <v>183</v>
      </c>
      <c r="N4" s="14" t="s">
        <v>194</v>
      </c>
    </row>
    <row r="5" spans="2:14">
      <c r="B5" s="4" t="s">
        <v>134</v>
      </c>
      <c r="C5" s="15" t="s">
        <v>135</v>
      </c>
      <c r="D5" s="4" t="s">
        <v>136</v>
      </c>
      <c r="E5" s="6">
        <f>COUNTIFS(tbl_shifts[Ho_Ten],$C5,tbl_shifts[Loai_Ca],"TRUC_DEM")</f>
        <v>0</v>
      </c>
      <c r="F5" s="6">
        <f>COUNTIFS(tbl_shifts[Ho_Ten],$C5,tbl_shifts[Loai_Ca],"TRUC_DEM",tbl_shifts[Loai_Ngay],"Lễ")</f>
        <v>0</v>
      </c>
      <c r="G5" s="17">
        <f>SUMIFS(tbl_shifts[Gio_Bien],tbl_shifts[Ho_Ten],$C5,tbl_shifts[Loai_Ca],"TRUC_DEM")</f>
        <v>0</v>
      </c>
      <c r="H5" s="17">
        <f>SUMIFS(tbl_shifts[Gio_Loi],tbl_shifts[Ho_Ten],$C5,tbl_shifts[Loai_Ca],"TRUC_DEM")</f>
        <v>0</v>
      </c>
      <c r="I5" s="17">
        <f t="shared" ref="I5:I16" si="0">$G5+$H5</f>
        <v>0</v>
      </c>
      <c r="J5" s="6">
        <f>COUNTIFS(tbl_shifts[Ho_Ten],$C5,tbl_shifts[Muc_BCA],"Spark")</f>
        <v>0</v>
      </c>
      <c r="K5" s="6">
        <f>COUNTIFS(tbl_shifts[Ho_Ten],$C5,tbl_shifts[Muc_BCA],"Blaze")</f>
        <v>0</v>
      </c>
      <c r="L5" s="6">
        <f>SUMIFS(tbl_shifts[PC_Gio],tbl_shifts[Ho_Ten],$C5,tbl_shifts[Loai_Ca],"TRUC_DEM")</f>
        <v>0</v>
      </c>
      <c r="M5" s="6">
        <f>SUMIFS(tbl_shifts[Thuong_BCA],tbl_shifts[Ho_Ten],$C5,tbl_shifts[Loai_Ca],"TRUC_DEM")</f>
        <v>0</v>
      </c>
      <c r="N5" s="16">
        <f t="shared" ref="N5:N16" si="1">ROUND($L5+$M5,0)</f>
        <v>0</v>
      </c>
    </row>
    <row r="6" spans="2:14">
      <c r="B6" s="4" t="s">
        <v>138</v>
      </c>
      <c r="C6" s="15" t="s">
        <v>139</v>
      </c>
      <c r="D6" s="4" t="s">
        <v>136</v>
      </c>
      <c r="E6" s="6">
        <f>COUNTIFS(tbl_shifts[Ho_Ten],$C6,tbl_shifts[Loai_Ca],"TRUC_DEM")</f>
        <v>0</v>
      </c>
      <c r="F6" s="6">
        <f>COUNTIFS(tbl_shifts[Ho_Ten],$C6,tbl_shifts[Loai_Ca],"TRUC_DEM",tbl_shifts[Loai_Ngay],"Lễ")</f>
        <v>0</v>
      </c>
      <c r="G6" s="17">
        <f>SUMIFS(tbl_shifts[Gio_Bien],tbl_shifts[Ho_Ten],$C6,tbl_shifts[Loai_Ca],"TRUC_DEM")</f>
        <v>0</v>
      </c>
      <c r="H6" s="17">
        <f>SUMIFS(tbl_shifts[Gio_Loi],tbl_shifts[Ho_Ten],$C6,tbl_shifts[Loai_Ca],"TRUC_DEM")</f>
        <v>0</v>
      </c>
      <c r="I6" s="17">
        <f t="shared" si="0"/>
        <v>0</v>
      </c>
      <c r="J6" s="6">
        <f>COUNTIFS(tbl_shifts[Ho_Ten],$C6,tbl_shifts[Muc_BCA],"Spark")</f>
        <v>0</v>
      </c>
      <c r="K6" s="6">
        <f>COUNTIFS(tbl_shifts[Ho_Ten],$C6,tbl_shifts[Muc_BCA],"Blaze")</f>
        <v>0</v>
      </c>
      <c r="L6" s="6">
        <f>SUMIFS(tbl_shifts[PC_Gio],tbl_shifts[Ho_Ten],$C6,tbl_shifts[Loai_Ca],"TRUC_DEM")</f>
        <v>0</v>
      </c>
      <c r="M6" s="6">
        <f>SUMIFS(tbl_shifts[Thuong_BCA],tbl_shifts[Ho_Ten],$C6,tbl_shifts[Loai_Ca],"TRUC_DEM")</f>
        <v>0</v>
      </c>
      <c r="N6" s="16">
        <f t="shared" si="1"/>
        <v>0</v>
      </c>
    </row>
    <row r="7" spans="2:14">
      <c r="B7" s="4" t="s">
        <v>140</v>
      </c>
      <c r="C7" s="15" t="s">
        <v>141</v>
      </c>
      <c r="D7" s="4" t="s">
        <v>136</v>
      </c>
      <c r="E7" s="6">
        <f>COUNTIFS(tbl_shifts[Ho_Ten],$C7,tbl_shifts[Loai_Ca],"TRUC_DEM")</f>
        <v>0</v>
      </c>
      <c r="F7" s="6">
        <f>COUNTIFS(tbl_shifts[Ho_Ten],$C7,tbl_shifts[Loai_Ca],"TRUC_DEM",tbl_shifts[Loai_Ngay],"Lễ")</f>
        <v>0</v>
      </c>
      <c r="G7" s="17">
        <f>SUMIFS(tbl_shifts[Gio_Bien],tbl_shifts[Ho_Ten],$C7,tbl_shifts[Loai_Ca],"TRUC_DEM")</f>
        <v>0</v>
      </c>
      <c r="H7" s="17">
        <f>SUMIFS(tbl_shifts[Gio_Loi],tbl_shifts[Ho_Ten],$C7,tbl_shifts[Loai_Ca],"TRUC_DEM")</f>
        <v>0</v>
      </c>
      <c r="I7" s="17">
        <f t="shared" si="0"/>
        <v>0</v>
      </c>
      <c r="J7" s="6">
        <f>COUNTIFS(tbl_shifts[Ho_Ten],$C7,tbl_shifts[Muc_BCA],"Spark")</f>
        <v>0</v>
      </c>
      <c r="K7" s="6">
        <f>COUNTIFS(tbl_shifts[Ho_Ten],$C7,tbl_shifts[Muc_BCA],"Blaze")</f>
        <v>0</v>
      </c>
      <c r="L7" s="6">
        <f>SUMIFS(tbl_shifts[PC_Gio],tbl_shifts[Ho_Ten],$C7,tbl_shifts[Loai_Ca],"TRUC_DEM")</f>
        <v>0</v>
      </c>
      <c r="M7" s="6">
        <f>SUMIFS(tbl_shifts[Thuong_BCA],tbl_shifts[Ho_Ten],$C7,tbl_shifts[Loai_Ca],"TRUC_DEM")</f>
        <v>0</v>
      </c>
      <c r="N7" s="16">
        <f t="shared" si="1"/>
        <v>0</v>
      </c>
    </row>
    <row r="8" spans="2:14">
      <c r="B8" s="4" t="s">
        <v>142</v>
      </c>
      <c r="C8" s="15" t="s">
        <v>143</v>
      </c>
      <c r="D8" s="4" t="s">
        <v>136</v>
      </c>
      <c r="E8" s="6">
        <f>COUNTIFS(tbl_shifts[Ho_Ten],$C8,tbl_shifts[Loai_Ca],"TRUC_DEM")</f>
        <v>0</v>
      </c>
      <c r="F8" s="6">
        <f>COUNTIFS(tbl_shifts[Ho_Ten],$C8,tbl_shifts[Loai_Ca],"TRUC_DEM",tbl_shifts[Loai_Ngay],"Lễ")</f>
        <v>0</v>
      </c>
      <c r="G8" s="17">
        <f>SUMIFS(tbl_shifts[Gio_Bien],tbl_shifts[Ho_Ten],$C8,tbl_shifts[Loai_Ca],"TRUC_DEM")</f>
        <v>0</v>
      </c>
      <c r="H8" s="17">
        <f>SUMIFS(tbl_shifts[Gio_Loi],tbl_shifts[Ho_Ten],$C8,tbl_shifts[Loai_Ca],"TRUC_DEM")</f>
        <v>0</v>
      </c>
      <c r="I8" s="17">
        <f t="shared" si="0"/>
        <v>0</v>
      </c>
      <c r="J8" s="6">
        <f>COUNTIFS(tbl_shifts[Ho_Ten],$C8,tbl_shifts[Muc_BCA],"Spark")</f>
        <v>0</v>
      </c>
      <c r="K8" s="6">
        <f>COUNTIFS(tbl_shifts[Ho_Ten],$C8,tbl_shifts[Muc_BCA],"Blaze")</f>
        <v>0</v>
      </c>
      <c r="L8" s="6">
        <f>SUMIFS(tbl_shifts[PC_Gio],tbl_shifts[Ho_Ten],$C8,tbl_shifts[Loai_Ca],"TRUC_DEM")</f>
        <v>0</v>
      </c>
      <c r="M8" s="6">
        <f>SUMIFS(tbl_shifts[Thuong_BCA],tbl_shifts[Ho_Ten],$C8,tbl_shifts[Loai_Ca],"TRUC_DEM")</f>
        <v>0</v>
      </c>
      <c r="N8" s="16">
        <f t="shared" si="1"/>
        <v>0</v>
      </c>
    </row>
    <row r="9" spans="2:14">
      <c r="B9" s="4" t="s">
        <v>144</v>
      </c>
      <c r="C9" s="15" t="s">
        <v>145</v>
      </c>
      <c r="D9" s="4" t="s">
        <v>136</v>
      </c>
      <c r="E9" s="6">
        <f>COUNTIFS(tbl_shifts[Ho_Ten],$C9,tbl_shifts[Loai_Ca],"TRUC_DEM")</f>
        <v>0</v>
      </c>
      <c r="F9" s="6">
        <f>COUNTIFS(tbl_shifts[Ho_Ten],$C9,tbl_shifts[Loai_Ca],"TRUC_DEM",tbl_shifts[Loai_Ngay],"Lễ")</f>
        <v>0</v>
      </c>
      <c r="G9" s="17">
        <f>SUMIFS(tbl_shifts[Gio_Bien],tbl_shifts[Ho_Ten],$C9,tbl_shifts[Loai_Ca],"TRUC_DEM")</f>
        <v>0</v>
      </c>
      <c r="H9" s="17">
        <f>SUMIFS(tbl_shifts[Gio_Loi],tbl_shifts[Ho_Ten],$C9,tbl_shifts[Loai_Ca],"TRUC_DEM")</f>
        <v>0</v>
      </c>
      <c r="I9" s="17">
        <f t="shared" si="0"/>
        <v>0</v>
      </c>
      <c r="J9" s="6">
        <f>COUNTIFS(tbl_shifts[Ho_Ten],$C9,tbl_shifts[Muc_BCA],"Spark")</f>
        <v>0</v>
      </c>
      <c r="K9" s="6">
        <f>COUNTIFS(tbl_shifts[Ho_Ten],$C9,tbl_shifts[Muc_BCA],"Blaze")</f>
        <v>0</v>
      </c>
      <c r="L9" s="6">
        <f>SUMIFS(tbl_shifts[PC_Gio],tbl_shifts[Ho_Ten],$C9,tbl_shifts[Loai_Ca],"TRUC_DEM")</f>
        <v>0</v>
      </c>
      <c r="M9" s="6">
        <f>SUMIFS(tbl_shifts[Thuong_BCA],tbl_shifts[Ho_Ten],$C9,tbl_shifts[Loai_Ca],"TRUC_DEM")</f>
        <v>0</v>
      </c>
      <c r="N9" s="16">
        <f t="shared" si="1"/>
        <v>0</v>
      </c>
    </row>
    <row r="10" spans="2:14">
      <c r="B10" s="4" t="s">
        <v>148</v>
      </c>
      <c r="C10" s="15" t="s">
        <v>149</v>
      </c>
      <c r="D10" s="4" t="s">
        <v>136</v>
      </c>
      <c r="E10" s="6">
        <f>COUNTIFS(tbl_shifts[Ho_Ten],$C10,tbl_shifts[Loai_Ca],"TRUC_DEM")</f>
        <v>0</v>
      </c>
      <c r="F10" s="6">
        <f>COUNTIFS(tbl_shifts[Ho_Ten],$C10,tbl_shifts[Loai_Ca],"TRUC_DEM",tbl_shifts[Loai_Ngay],"Lễ")</f>
        <v>0</v>
      </c>
      <c r="G10" s="17">
        <f>SUMIFS(tbl_shifts[Gio_Bien],tbl_shifts[Ho_Ten],$C10,tbl_shifts[Loai_Ca],"TRUC_DEM")</f>
        <v>0</v>
      </c>
      <c r="H10" s="17">
        <f>SUMIFS(tbl_shifts[Gio_Loi],tbl_shifts[Ho_Ten],$C10,tbl_shifts[Loai_Ca],"TRUC_DEM")</f>
        <v>0</v>
      </c>
      <c r="I10" s="17">
        <f t="shared" si="0"/>
        <v>0</v>
      </c>
      <c r="J10" s="6">
        <f>COUNTIFS(tbl_shifts[Ho_Ten],$C10,tbl_shifts[Muc_BCA],"Spark")</f>
        <v>0</v>
      </c>
      <c r="K10" s="6">
        <f>COUNTIFS(tbl_shifts[Ho_Ten],$C10,tbl_shifts[Muc_BCA],"Blaze")</f>
        <v>0</v>
      </c>
      <c r="L10" s="6">
        <f>SUMIFS(tbl_shifts[PC_Gio],tbl_shifts[Ho_Ten],$C10,tbl_shifts[Loai_Ca],"TRUC_DEM")</f>
        <v>0</v>
      </c>
      <c r="M10" s="6">
        <f>SUMIFS(tbl_shifts[Thuong_BCA],tbl_shifts[Ho_Ten],$C10,tbl_shifts[Loai_Ca],"TRUC_DEM")</f>
        <v>0</v>
      </c>
      <c r="N10" s="16">
        <f t="shared" si="1"/>
        <v>0</v>
      </c>
    </row>
    <row r="11" spans="2:14">
      <c r="B11" s="4" t="s">
        <v>150</v>
      </c>
      <c r="C11" s="15" t="s">
        <v>151</v>
      </c>
      <c r="D11" s="4" t="s">
        <v>152</v>
      </c>
      <c r="E11" s="6">
        <f>COUNTIFS(tbl_shifts[Ho_Ten],$C11,tbl_shifts[Loai_Ca],"TRUC_DEM")</f>
        <v>0</v>
      </c>
      <c r="F11" s="6">
        <f>COUNTIFS(tbl_shifts[Ho_Ten],$C11,tbl_shifts[Loai_Ca],"TRUC_DEM",tbl_shifts[Loai_Ngay],"Lễ")</f>
        <v>0</v>
      </c>
      <c r="G11" s="17">
        <f>SUMIFS(tbl_shifts[Gio_Bien],tbl_shifts[Ho_Ten],$C11,tbl_shifts[Loai_Ca],"TRUC_DEM")</f>
        <v>0</v>
      </c>
      <c r="H11" s="17">
        <f>SUMIFS(tbl_shifts[Gio_Loi],tbl_shifts[Ho_Ten],$C11,tbl_shifts[Loai_Ca],"TRUC_DEM")</f>
        <v>0</v>
      </c>
      <c r="I11" s="17">
        <f t="shared" si="0"/>
        <v>0</v>
      </c>
      <c r="J11" s="6">
        <f>COUNTIFS(tbl_shifts[Ho_Ten],$C11,tbl_shifts[Muc_BCA],"Spark")</f>
        <v>0</v>
      </c>
      <c r="K11" s="6">
        <f>COUNTIFS(tbl_shifts[Ho_Ten],$C11,tbl_shifts[Muc_BCA],"Blaze")</f>
        <v>0</v>
      </c>
      <c r="L11" s="6">
        <f>SUMIFS(tbl_shifts[PC_Gio],tbl_shifts[Ho_Ten],$C11,tbl_shifts[Loai_Ca],"TRUC_DEM")</f>
        <v>0</v>
      </c>
      <c r="M11" s="6">
        <f>SUMIFS(tbl_shifts[Thuong_BCA],tbl_shifts[Ho_Ten],$C11,tbl_shifts[Loai_Ca],"TRUC_DEM")</f>
        <v>0</v>
      </c>
      <c r="N11" s="16">
        <f t="shared" si="1"/>
        <v>0</v>
      </c>
    </row>
    <row r="12" spans="2:14">
      <c r="B12" s="4" t="s">
        <v>153</v>
      </c>
      <c r="C12" s="15" t="s">
        <v>154</v>
      </c>
      <c r="D12" s="4" t="s">
        <v>155</v>
      </c>
      <c r="E12" s="6">
        <f>COUNTIFS(tbl_shifts[Ho_Ten],$C12,tbl_shifts[Loai_Ca],"TRUC_DEM")</f>
        <v>0</v>
      </c>
      <c r="F12" s="6">
        <f>COUNTIFS(tbl_shifts[Ho_Ten],$C12,tbl_shifts[Loai_Ca],"TRUC_DEM",tbl_shifts[Loai_Ngay],"Lễ")</f>
        <v>0</v>
      </c>
      <c r="G12" s="17">
        <f>SUMIFS(tbl_shifts[Gio_Bien],tbl_shifts[Ho_Ten],$C12,tbl_shifts[Loai_Ca],"TRUC_DEM")</f>
        <v>0</v>
      </c>
      <c r="H12" s="17">
        <f>SUMIFS(tbl_shifts[Gio_Loi],tbl_shifts[Ho_Ten],$C12,tbl_shifts[Loai_Ca],"TRUC_DEM")</f>
        <v>0</v>
      </c>
      <c r="I12" s="17">
        <f t="shared" si="0"/>
        <v>0</v>
      </c>
      <c r="J12" s="6">
        <f>COUNTIFS(tbl_shifts[Ho_Ten],$C12,tbl_shifts[Muc_BCA],"Spark")</f>
        <v>0</v>
      </c>
      <c r="K12" s="6">
        <f>COUNTIFS(tbl_shifts[Ho_Ten],$C12,tbl_shifts[Muc_BCA],"Blaze")</f>
        <v>0</v>
      </c>
      <c r="L12" s="6">
        <f>SUMIFS(tbl_shifts[PC_Gio],tbl_shifts[Ho_Ten],$C12,tbl_shifts[Loai_Ca],"TRUC_DEM")</f>
        <v>0</v>
      </c>
      <c r="M12" s="6">
        <f>SUMIFS(tbl_shifts[Thuong_BCA],tbl_shifts[Ho_Ten],$C12,tbl_shifts[Loai_Ca],"TRUC_DEM")</f>
        <v>0</v>
      </c>
      <c r="N12" s="16">
        <f t="shared" si="1"/>
        <v>0</v>
      </c>
    </row>
    <row r="13" spans="2:14">
      <c r="B13" s="4" t="s">
        <v>156</v>
      </c>
      <c r="C13" s="15" t="s">
        <v>157</v>
      </c>
      <c r="D13" s="4" t="s">
        <v>152</v>
      </c>
      <c r="E13" s="6">
        <f>COUNTIFS(tbl_shifts[Ho_Ten],$C13,tbl_shifts[Loai_Ca],"TRUC_DEM")</f>
        <v>0</v>
      </c>
      <c r="F13" s="6">
        <f>COUNTIFS(tbl_shifts[Ho_Ten],$C13,tbl_shifts[Loai_Ca],"TRUC_DEM",tbl_shifts[Loai_Ngay],"Lễ")</f>
        <v>0</v>
      </c>
      <c r="G13" s="17">
        <f>SUMIFS(tbl_shifts[Gio_Bien],tbl_shifts[Ho_Ten],$C13,tbl_shifts[Loai_Ca],"TRUC_DEM")</f>
        <v>0</v>
      </c>
      <c r="H13" s="17">
        <f>SUMIFS(tbl_shifts[Gio_Loi],tbl_shifts[Ho_Ten],$C13,tbl_shifts[Loai_Ca],"TRUC_DEM")</f>
        <v>0</v>
      </c>
      <c r="I13" s="17">
        <f t="shared" si="0"/>
        <v>0</v>
      </c>
      <c r="J13" s="6">
        <f>COUNTIFS(tbl_shifts[Ho_Ten],$C13,tbl_shifts[Muc_BCA],"Spark")</f>
        <v>0</v>
      </c>
      <c r="K13" s="6">
        <f>COUNTIFS(tbl_shifts[Ho_Ten],$C13,tbl_shifts[Muc_BCA],"Blaze")</f>
        <v>0</v>
      </c>
      <c r="L13" s="6">
        <f>SUMIFS(tbl_shifts[PC_Gio],tbl_shifts[Ho_Ten],$C13,tbl_shifts[Loai_Ca],"TRUC_DEM")</f>
        <v>0</v>
      </c>
      <c r="M13" s="6">
        <f>SUMIFS(tbl_shifts[Thuong_BCA],tbl_shifts[Ho_Ten],$C13,tbl_shifts[Loai_Ca],"TRUC_DEM")</f>
        <v>0</v>
      </c>
      <c r="N13" s="16">
        <f t="shared" si="1"/>
        <v>0</v>
      </c>
    </row>
    <row r="14" spans="2:14">
      <c r="B14" s="4" t="s">
        <v>158</v>
      </c>
      <c r="C14" s="15" t="s">
        <v>159</v>
      </c>
      <c r="D14" s="4" t="s">
        <v>152</v>
      </c>
      <c r="E14" s="6">
        <f>COUNTIFS(tbl_shifts[Ho_Ten],$C14,tbl_shifts[Loai_Ca],"TRUC_DEM")</f>
        <v>0</v>
      </c>
      <c r="F14" s="6">
        <f>COUNTIFS(tbl_shifts[Ho_Ten],$C14,tbl_shifts[Loai_Ca],"TRUC_DEM",tbl_shifts[Loai_Ngay],"Lễ")</f>
        <v>0</v>
      </c>
      <c r="G14" s="17">
        <f>SUMIFS(tbl_shifts[Gio_Bien],tbl_shifts[Ho_Ten],$C14,tbl_shifts[Loai_Ca],"TRUC_DEM")</f>
        <v>0</v>
      </c>
      <c r="H14" s="17">
        <f>SUMIFS(tbl_shifts[Gio_Loi],tbl_shifts[Ho_Ten],$C14,tbl_shifts[Loai_Ca],"TRUC_DEM")</f>
        <v>0</v>
      </c>
      <c r="I14" s="17">
        <f t="shared" si="0"/>
        <v>0</v>
      </c>
      <c r="J14" s="6">
        <f>COUNTIFS(tbl_shifts[Ho_Ten],$C14,tbl_shifts[Muc_BCA],"Spark")</f>
        <v>0</v>
      </c>
      <c r="K14" s="6">
        <f>COUNTIFS(tbl_shifts[Ho_Ten],$C14,tbl_shifts[Muc_BCA],"Blaze")</f>
        <v>0</v>
      </c>
      <c r="L14" s="6">
        <f>SUMIFS(tbl_shifts[PC_Gio],tbl_shifts[Ho_Ten],$C14,tbl_shifts[Loai_Ca],"TRUC_DEM")</f>
        <v>0</v>
      </c>
      <c r="M14" s="6">
        <f>SUMIFS(tbl_shifts[Thuong_BCA],tbl_shifts[Ho_Ten],$C14,tbl_shifts[Loai_Ca],"TRUC_DEM")</f>
        <v>0</v>
      </c>
      <c r="N14" s="16">
        <f t="shared" si="1"/>
        <v>0</v>
      </c>
    </row>
    <row r="15" spans="2:14">
      <c r="B15" s="4" t="s">
        <v>160</v>
      </c>
      <c r="C15" s="15" t="s">
        <v>161</v>
      </c>
      <c r="D15" s="4" t="s">
        <v>152</v>
      </c>
      <c r="E15" s="6">
        <f>COUNTIFS(tbl_shifts[Ho_Ten],$C15,tbl_shifts[Loai_Ca],"TRUC_DEM")</f>
        <v>0</v>
      </c>
      <c r="F15" s="6">
        <f>COUNTIFS(tbl_shifts[Ho_Ten],$C15,tbl_shifts[Loai_Ca],"TRUC_DEM",tbl_shifts[Loai_Ngay],"Lễ")</f>
        <v>0</v>
      </c>
      <c r="G15" s="17">
        <f>SUMIFS(tbl_shifts[Gio_Bien],tbl_shifts[Ho_Ten],$C15,tbl_shifts[Loai_Ca],"TRUC_DEM")</f>
        <v>0</v>
      </c>
      <c r="H15" s="17">
        <f>SUMIFS(tbl_shifts[Gio_Loi],tbl_shifts[Ho_Ten],$C15,tbl_shifts[Loai_Ca],"TRUC_DEM")</f>
        <v>0</v>
      </c>
      <c r="I15" s="17">
        <f t="shared" si="0"/>
        <v>0</v>
      </c>
      <c r="J15" s="6">
        <f>COUNTIFS(tbl_shifts[Ho_Ten],$C15,tbl_shifts[Muc_BCA],"Spark")</f>
        <v>0</v>
      </c>
      <c r="K15" s="6">
        <f>COUNTIFS(tbl_shifts[Ho_Ten],$C15,tbl_shifts[Muc_BCA],"Blaze")</f>
        <v>0</v>
      </c>
      <c r="L15" s="6">
        <f>SUMIFS(tbl_shifts[PC_Gio],tbl_shifts[Ho_Ten],$C15,tbl_shifts[Loai_Ca],"TRUC_DEM")</f>
        <v>0</v>
      </c>
      <c r="M15" s="6">
        <f>SUMIFS(tbl_shifts[Thuong_BCA],tbl_shifts[Ho_Ten],$C15,tbl_shifts[Loai_Ca],"TRUC_DEM")</f>
        <v>0</v>
      </c>
      <c r="N15" s="16">
        <f t="shared" si="1"/>
        <v>0</v>
      </c>
    </row>
    <row r="16" spans="2:14">
      <c r="B16" s="4" t="s">
        <v>163</v>
      </c>
      <c r="C16" s="15" t="s">
        <v>164</v>
      </c>
      <c r="D16" s="4" t="s">
        <v>152</v>
      </c>
      <c r="E16" s="6">
        <f>COUNTIFS(tbl_shifts[Ho_Ten],$C16,tbl_shifts[Loai_Ca],"TRUC_DEM")</f>
        <v>0</v>
      </c>
      <c r="F16" s="6">
        <f>COUNTIFS(tbl_shifts[Ho_Ten],$C16,tbl_shifts[Loai_Ca],"TRUC_DEM",tbl_shifts[Loai_Ngay],"Lễ")</f>
        <v>0</v>
      </c>
      <c r="G16" s="17">
        <f>SUMIFS(tbl_shifts[Gio_Bien],tbl_shifts[Ho_Ten],$C16,tbl_shifts[Loai_Ca],"TRUC_DEM")</f>
        <v>0</v>
      </c>
      <c r="H16" s="17">
        <f>SUMIFS(tbl_shifts[Gio_Loi],tbl_shifts[Ho_Ten],$C16,tbl_shifts[Loai_Ca],"TRUC_DEM")</f>
        <v>0</v>
      </c>
      <c r="I16" s="17">
        <f t="shared" si="0"/>
        <v>0</v>
      </c>
      <c r="J16" s="6">
        <f>COUNTIFS(tbl_shifts[Ho_Ten],$C16,tbl_shifts[Muc_BCA],"Spark")</f>
        <v>0</v>
      </c>
      <c r="K16" s="6">
        <f>COUNTIFS(tbl_shifts[Ho_Ten],$C16,tbl_shifts[Muc_BCA],"Blaze")</f>
        <v>0</v>
      </c>
      <c r="L16" s="6">
        <f>SUMIFS(tbl_shifts[PC_Gio],tbl_shifts[Ho_Ten],$C16,tbl_shifts[Loai_Ca],"TRUC_DEM")</f>
        <v>0</v>
      </c>
      <c r="M16" s="6">
        <f>SUMIFS(tbl_shifts[Thuong_BCA],tbl_shifts[Ho_Ten],$C16,tbl_shifts[Loai_Ca],"TRUC_DEM")</f>
        <v>0</v>
      </c>
      <c r="N16" s="16">
        <f t="shared" si="1"/>
        <v>0</v>
      </c>
    </row>
    <row r="17" spans="3:14">
      <c r="C17" s="11" t="s">
        <v>195</v>
      </c>
      <c r="E17" s="16">
        <f t="shared" ref="E17:N17" si="2">SUBTOTAL(9,E5:E16)</f>
        <v>0</v>
      </c>
      <c r="F17" s="16">
        <f t="shared" si="2"/>
        <v>0</v>
      </c>
      <c r="G17" s="18">
        <f t="shared" si="2"/>
        <v>0</v>
      </c>
      <c r="H17" s="18">
        <f t="shared" si="2"/>
        <v>0</v>
      </c>
      <c r="I17" s="18">
        <f t="shared" si="2"/>
        <v>0</v>
      </c>
      <c r="J17" s="16">
        <f t="shared" si="2"/>
        <v>0</v>
      </c>
      <c r="K17" s="16">
        <f t="shared" si="2"/>
        <v>0</v>
      </c>
      <c r="L17" s="16">
        <f t="shared" si="2"/>
        <v>0</v>
      </c>
      <c r="M17" s="16">
        <f t="shared" si="2"/>
        <v>0</v>
      </c>
      <c r="N17" s="16">
        <f t="shared" si="2"/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17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G11" sqref="G11"/>
    </sheetView>
  </sheetViews>
  <sheetFormatPr defaultColWidth="9" defaultRowHeight="14.4"/>
  <cols>
    <col min="1" max="1" width="3" style="1" customWidth="1"/>
    <col min="2" max="2" width="12" style="1" customWidth="1"/>
    <col min="3" max="3" width="26" style="1" customWidth="1"/>
    <col min="4" max="4" width="10" style="1" customWidth="1"/>
    <col min="5" max="5" width="11" style="1" customWidth="1"/>
    <col min="6" max="6" width="12" style="1" customWidth="1"/>
    <col min="7" max="7" width="11" style="1" customWidth="1"/>
    <col min="8" max="8" width="14" style="1" customWidth="1"/>
    <col min="9" max="9" width="17" style="1" customWidth="1"/>
    <col min="10" max="16384" width="9" style="1"/>
  </cols>
  <sheetData>
    <row r="2" ht="17.4" spans="2:9">
      <c r="B2" s="13" t="s">
        <v>196</v>
      </c>
    </row>
    <row r="4" spans="2:9">
      <c r="B4" s="14" t="s">
        <v>127</v>
      </c>
      <c r="C4" s="14" t="s">
        <v>128</v>
      </c>
      <c r="D4" s="14" t="s">
        <v>129</v>
      </c>
      <c r="E4" s="14" t="s">
        <v>197</v>
      </c>
      <c r="F4" s="14" t="s">
        <v>198</v>
      </c>
      <c r="G4" s="14" t="s">
        <v>199</v>
      </c>
      <c r="H4" s="14" t="s">
        <v>200</v>
      </c>
      <c r="I4" s="14" t="s">
        <v>185</v>
      </c>
    </row>
    <row r="5" spans="2:9">
      <c r="B5" s="4" t="s">
        <v>134</v>
      </c>
      <c r="C5" s="15" t="s">
        <v>135</v>
      </c>
      <c r="D5" s="4" t="s">
        <v>136</v>
      </c>
      <c r="E5" s="6">
        <f>COUNTIFS(tbl_shifts[Ho_Ten],$C5,tbl_shifts[Loai_Ca],"OPS")</f>
        <v>0</v>
      </c>
      <c r="F5" s="6">
        <f>COUNTIFS(tbl_shifts[Ho_Ten],$C5,tbl_shifts[Loai_Ca],"OPS",tbl_shifts[Loai_Ngay],"Lễ")</f>
        <v>0</v>
      </c>
      <c r="G5" s="6">
        <f>SUMIFS(tbl_shifts[Trong_Luong_Kg],tbl_shifts[Ho_Ten],$C5,tbl_shifts[Loai_Ca],"OPS")</f>
        <v>0</v>
      </c>
      <c r="H5" s="6">
        <f>COUNTIFS(tbl_shifts[Ho_Ten],$C5,tbl_shifts[Loai_Ca],"OPS",tbl_shifts[Trong_Luong_Kg],"&gt;"&amp;ops_kg_1nguoi)</f>
        <v>0</v>
      </c>
      <c r="I5" s="16">
        <f>ROUND(SUMIFS(tbl_shifts[Phi_OPS],tbl_shifts[Ho_Ten],$C5,tbl_shifts[Loai_Ca],"OPS"),0)</f>
        <v>0</v>
      </c>
    </row>
    <row r="6" spans="2:9">
      <c r="B6" s="4" t="s">
        <v>138</v>
      </c>
      <c r="C6" s="15" t="s">
        <v>139</v>
      </c>
      <c r="D6" s="4" t="s">
        <v>136</v>
      </c>
      <c r="E6" s="6">
        <f>COUNTIFS(tbl_shifts[Ho_Ten],$C6,tbl_shifts[Loai_Ca],"OPS")</f>
        <v>0</v>
      </c>
      <c r="F6" s="6">
        <f>COUNTIFS(tbl_shifts[Ho_Ten],$C6,tbl_shifts[Loai_Ca],"OPS",tbl_shifts[Loai_Ngay],"Lễ")</f>
        <v>0</v>
      </c>
      <c r="G6" s="6">
        <f>SUMIFS(tbl_shifts[Trong_Luong_Kg],tbl_shifts[Ho_Ten],$C6,tbl_shifts[Loai_Ca],"OPS")</f>
        <v>0</v>
      </c>
      <c r="H6" s="6">
        <f>COUNTIFS(tbl_shifts[Ho_Ten],$C6,tbl_shifts[Loai_Ca],"OPS",tbl_shifts[Trong_Luong_Kg],"&gt;"&amp;ops_kg_1nguoi)</f>
        <v>0</v>
      </c>
      <c r="I6" s="16">
        <f>ROUND(SUMIFS(tbl_shifts[Phi_OPS],tbl_shifts[Ho_Ten],$C6,tbl_shifts[Loai_Ca],"OPS"),0)</f>
        <v>0</v>
      </c>
    </row>
    <row r="7" spans="2:9">
      <c r="B7" s="4" t="s">
        <v>140</v>
      </c>
      <c r="C7" s="15" t="s">
        <v>141</v>
      </c>
      <c r="D7" s="4" t="s">
        <v>136</v>
      </c>
      <c r="E7" s="6">
        <f>COUNTIFS(tbl_shifts[Ho_Ten],$C7,tbl_shifts[Loai_Ca],"OPS")</f>
        <v>0</v>
      </c>
      <c r="F7" s="6">
        <f>COUNTIFS(tbl_shifts[Ho_Ten],$C7,tbl_shifts[Loai_Ca],"OPS",tbl_shifts[Loai_Ngay],"Lễ")</f>
        <v>0</v>
      </c>
      <c r="G7" s="6">
        <f>SUMIFS(tbl_shifts[Trong_Luong_Kg],tbl_shifts[Ho_Ten],$C7,tbl_shifts[Loai_Ca],"OPS")</f>
        <v>0</v>
      </c>
      <c r="H7" s="6">
        <f>COUNTIFS(tbl_shifts[Ho_Ten],$C7,tbl_shifts[Loai_Ca],"OPS",tbl_shifts[Trong_Luong_Kg],"&gt;"&amp;ops_kg_1nguoi)</f>
        <v>0</v>
      </c>
      <c r="I7" s="16">
        <f>ROUND(SUMIFS(tbl_shifts[Phi_OPS],tbl_shifts[Ho_Ten],$C7,tbl_shifts[Loai_Ca],"OPS"),0)</f>
        <v>0</v>
      </c>
    </row>
    <row r="8" spans="2:9">
      <c r="B8" s="4" t="s">
        <v>142</v>
      </c>
      <c r="C8" s="15" t="s">
        <v>143</v>
      </c>
      <c r="D8" s="4" t="s">
        <v>136</v>
      </c>
      <c r="E8" s="6">
        <f>COUNTIFS(tbl_shifts[Ho_Ten],$C8,tbl_shifts[Loai_Ca],"OPS")</f>
        <v>0</v>
      </c>
      <c r="F8" s="6">
        <f>COUNTIFS(tbl_shifts[Ho_Ten],$C8,tbl_shifts[Loai_Ca],"OPS",tbl_shifts[Loai_Ngay],"Lễ")</f>
        <v>0</v>
      </c>
      <c r="G8" s="6">
        <f>SUMIFS(tbl_shifts[Trong_Luong_Kg],tbl_shifts[Ho_Ten],$C8,tbl_shifts[Loai_Ca],"OPS")</f>
        <v>0</v>
      </c>
      <c r="H8" s="6">
        <f>COUNTIFS(tbl_shifts[Ho_Ten],$C8,tbl_shifts[Loai_Ca],"OPS",tbl_shifts[Trong_Luong_Kg],"&gt;"&amp;ops_kg_1nguoi)</f>
        <v>0</v>
      </c>
      <c r="I8" s="16">
        <f>ROUND(SUMIFS(tbl_shifts[Phi_OPS],tbl_shifts[Ho_Ten],$C8,tbl_shifts[Loai_Ca],"OPS"),0)</f>
        <v>0</v>
      </c>
    </row>
    <row r="9" spans="2:9">
      <c r="B9" s="4" t="s">
        <v>144</v>
      </c>
      <c r="C9" s="15" t="s">
        <v>145</v>
      </c>
      <c r="D9" s="4" t="s">
        <v>136</v>
      </c>
      <c r="E9" s="6">
        <f>COUNTIFS(tbl_shifts[Ho_Ten],$C9,tbl_shifts[Loai_Ca],"OPS")</f>
        <v>0</v>
      </c>
      <c r="F9" s="6">
        <f>COUNTIFS(tbl_shifts[Ho_Ten],$C9,tbl_shifts[Loai_Ca],"OPS",tbl_shifts[Loai_Ngay],"Lễ")</f>
        <v>0</v>
      </c>
      <c r="G9" s="6">
        <f>SUMIFS(tbl_shifts[Trong_Luong_Kg],tbl_shifts[Ho_Ten],$C9,tbl_shifts[Loai_Ca],"OPS")</f>
        <v>0</v>
      </c>
      <c r="H9" s="6">
        <f>COUNTIFS(tbl_shifts[Ho_Ten],$C9,tbl_shifts[Loai_Ca],"OPS",tbl_shifts[Trong_Luong_Kg],"&gt;"&amp;ops_kg_1nguoi)</f>
        <v>0</v>
      </c>
      <c r="I9" s="16">
        <f>ROUND(SUMIFS(tbl_shifts[Phi_OPS],tbl_shifts[Ho_Ten],$C9,tbl_shifts[Loai_Ca],"OPS"),0)</f>
        <v>0</v>
      </c>
    </row>
    <row r="10" spans="2:9">
      <c r="B10" s="4" t="s">
        <v>148</v>
      </c>
      <c r="C10" s="15" t="s">
        <v>149</v>
      </c>
      <c r="D10" s="4" t="s">
        <v>136</v>
      </c>
      <c r="E10" s="6">
        <f>COUNTIFS(tbl_shifts[Ho_Ten],$C10,tbl_shifts[Loai_Ca],"OPS")</f>
        <v>0</v>
      </c>
      <c r="F10" s="6">
        <f>COUNTIFS(tbl_shifts[Ho_Ten],$C10,tbl_shifts[Loai_Ca],"OPS",tbl_shifts[Loai_Ngay],"Lễ")</f>
        <v>0</v>
      </c>
      <c r="G10" s="6">
        <f>SUMIFS(tbl_shifts[Trong_Luong_Kg],tbl_shifts[Ho_Ten],$C10,tbl_shifts[Loai_Ca],"OPS")</f>
        <v>0</v>
      </c>
      <c r="H10" s="6">
        <f>COUNTIFS(tbl_shifts[Ho_Ten],$C10,tbl_shifts[Loai_Ca],"OPS",tbl_shifts[Trong_Luong_Kg],"&gt;"&amp;ops_kg_1nguoi)</f>
        <v>0</v>
      </c>
      <c r="I10" s="16">
        <f>ROUND(SUMIFS(tbl_shifts[Phi_OPS],tbl_shifts[Ho_Ten],$C10,tbl_shifts[Loai_Ca],"OPS"),0)</f>
        <v>0</v>
      </c>
    </row>
    <row r="11" spans="2:9">
      <c r="B11" s="4" t="s">
        <v>150</v>
      </c>
      <c r="C11" s="15" t="s">
        <v>151</v>
      </c>
      <c r="D11" s="4" t="s">
        <v>152</v>
      </c>
      <c r="E11" s="6">
        <f>COUNTIFS(tbl_shifts[Ho_Ten],$C11,tbl_shifts[Loai_Ca],"OPS")</f>
        <v>0</v>
      </c>
      <c r="F11" s="6">
        <f>COUNTIFS(tbl_shifts[Ho_Ten],$C11,tbl_shifts[Loai_Ca],"OPS",tbl_shifts[Loai_Ngay],"Lễ")</f>
        <v>0</v>
      </c>
      <c r="G11" s="6">
        <f>SUMIFS(tbl_shifts[Trong_Luong_Kg],tbl_shifts[Ho_Ten],$C11,tbl_shifts[Loai_Ca],"OPS")</f>
        <v>0</v>
      </c>
      <c r="H11" s="6">
        <f>COUNTIFS(tbl_shifts[Ho_Ten],$C11,tbl_shifts[Loai_Ca],"OPS",tbl_shifts[Trong_Luong_Kg],"&gt;"&amp;ops_kg_1nguoi)</f>
        <v>0</v>
      </c>
      <c r="I11" s="16">
        <f>ROUND(SUMIFS(tbl_shifts[Phi_OPS],tbl_shifts[Ho_Ten],$C11,tbl_shifts[Loai_Ca],"OPS"),0)</f>
        <v>0</v>
      </c>
    </row>
    <row r="12" spans="2:9">
      <c r="B12" s="4" t="s">
        <v>153</v>
      </c>
      <c r="C12" s="15" t="s">
        <v>154</v>
      </c>
      <c r="D12" s="4" t="s">
        <v>155</v>
      </c>
      <c r="E12" s="6">
        <f>COUNTIFS(tbl_shifts[Ho_Ten],$C12,tbl_shifts[Loai_Ca],"OPS")</f>
        <v>0</v>
      </c>
      <c r="F12" s="6">
        <f>COUNTIFS(tbl_shifts[Ho_Ten],$C12,tbl_shifts[Loai_Ca],"OPS",tbl_shifts[Loai_Ngay],"Lễ")</f>
        <v>0</v>
      </c>
      <c r="G12" s="6">
        <f>SUMIFS(tbl_shifts[Trong_Luong_Kg],tbl_shifts[Ho_Ten],$C12,tbl_shifts[Loai_Ca],"OPS")</f>
        <v>0</v>
      </c>
      <c r="H12" s="6">
        <f>COUNTIFS(tbl_shifts[Ho_Ten],$C12,tbl_shifts[Loai_Ca],"OPS",tbl_shifts[Trong_Luong_Kg],"&gt;"&amp;ops_kg_1nguoi)</f>
        <v>0</v>
      </c>
      <c r="I12" s="16">
        <f>ROUND(SUMIFS(tbl_shifts[Phi_OPS],tbl_shifts[Ho_Ten],$C12,tbl_shifts[Loai_Ca],"OPS"),0)</f>
        <v>0</v>
      </c>
    </row>
    <row r="13" spans="2:9">
      <c r="B13" s="4" t="s">
        <v>156</v>
      </c>
      <c r="C13" s="15" t="s">
        <v>157</v>
      </c>
      <c r="D13" s="4" t="s">
        <v>152</v>
      </c>
      <c r="E13" s="6">
        <f>COUNTIFS(tbl_shifts[Ho_Ten],$C13,tbl_shifts[Loai_Ca],"OPS")</f>
        <v>0</v>
      </c>
      <c r="F13" s="6">
        <f>COUNTIFS(tbl_shifts[Ho_Ten],$C13,tbl_shifts[Loai_Ca],"OPS",tbl_shifts[Loai_Ngay],"Lễ")</f>
        <v>0</v>
      </c>
      <c r="G13" s="6">
        <f>SUMIFS(tbl_shifts[Trong_Luong_Kg],tbl_shifts[Ho_Ten],$C13,tbl_shifts[Loai_Ca],"OPS")</f>
        <v>0</v>
      </c>
      <c r="H13" s="6">
        <f>COUNTIFS(tbl_shifts[Ho_Ten],$C13,tbl_shifts[Loai_Ca],"OPS",tbl_shifts[Trong_Luong_Kg],"&gt;"&amp;ops_kg_1nguoi)</f>
        <v>0</v>
      </c>
      <c r="I13" s="16">
        <f>ROUND(SUMIFS(tbl_shifts[Phi_OPS],tbl_shifts[Ho_Ten],$C13,tbl_shifts[Loai_Ca],"OPS"),0)</f>
        <v>0</v>
      </c>
    </row>
    <row r="14" spans="2:9">
      <c r="B14" s="4" t="s">
        <v>158</v>
      </c>
      <c r="C14" s="15" t="s">
        <v>159</v>
      </c>
      <c r="D14" s="4" t="s">
        <v>152</v>
      </c>
      <c r="E14" s="6">
        <f>COUNTIFS(tbl_shifts[Ho_Ten],$C14,tbl_shifts[Loai_Ca],"OPS")</f>
        <v>0</v>
      </c>
      <c r="F14" s="6">
        <f>COUNTIFS(tbl_shifts[Ho_Ten],$C14,tbl_shifts[Loai_Ca],"OPS",tbl_shifts[Loai_Ngay],"Lễ")</f>
        <v>0</v>
      </c>
      <c r="G14" s="6">
        <f>SUMIFS(tbl_shifts[Trong_Luong_Kg],tbl_shifts[Ho_Ten],$C14,tbl_shifts[Loai_Ca],"OPS")</f>
        <v>0</v>
      </c>
      <c r="H14" s="6">
        <f>COUNTIFS(tbl_shifts[Ho_Ten],$C14,tbl_shifts[Loai_Ca],"OPS",tbl_shifts[Trong_Luong_Kg],"&gt;"&amp;ops_kg_1nguoi)</f>
        <v>0</v>
      </c>
      <c r="I14" s="16">
        <f>ROUND(SUMIFS(tbl_shifts[Phi_OPS],tbl_shifts[Ho_Ten],$C14,tbl_shifts[Loai_Ca],"OPS"),0)</f>
        <v>0</v>
      </c>
    </row>
    <row r="15" spans="2:9">
      <c r="B15" s="4" t="s">
        <v>160</v>
      </c>
      <c r="C15" s="15" t="s">
        <v>161</v>
      </c>
      <c r="D15" s="4" t="s">
        <v>152</v>
      </c>
      <c r="E15" s="6">
        <f>COUNTIFS(tbl_shifts[Ho_Ten],$C15,tbl_shifts[Loai_Ca],"OPS")</f>
        <v>0</v>
      </c>
      <c r="F15" s="6">
        <f>COUNTIFS(tbl_shifts[Ho_Ten],$C15,tbl_shifts[Loai_Ca],"OPS",tbl_shifts[Loai_Ngay],"Lễ")</f>
        <v>0</v>
      </c>
      <c r="G15" s="6">
        <f>SUMIFS(tbl_shifts[Trong_Luong_Kg],tbl_shifts[Ho_Ten],$C15,tbl_shifts[Loai_Ca],"OPS")</f>
        <v>0</v>
      </c>
      <c r="H15" s="6">
        <f>COUNTIFS(tbl_shifts[Ho_Ten],$C15,tbl_shifts[Loai_Ca],"OPS",tbl_shifts[Trong_Luong_Kg],"&gt;"&amp;ops_kg_1nguoi)</f>
        <v>0</v>
      </c>
      <c r="I15" s="16">
        <f>ROUND(SUMIFS(tbl_shifts[Phi_OPS],tbl_shifts[Ho_Ten],$C15,tbl_shifts[Loai_Ca],"OPS"),0)</f>
        <v>0</v>
      </c>
    </row>
    <row r="16" spans="2:9">
      <c r="B16" s="4" t="s">
        <v>163</v>
      </c>
      <c r="C16" s="15" t="s">
        <v>164</v>
      </c>
      <c r="D16" s="4" t="s">
        <v>152</v>
      </c>
      <c r="E16" s="6">
        <f>COUNTIFS(tbl_shifts[Ho_Ten],$C16,tbl_shifts[Loai_Ca],"OPS")</f>
        <v>0</v>
      </c>
      <c r="F16" s="6">
        <f>COUNTIFS(tbl_shifts[Ho_Ten],$C16,tbl_shifts[Loai_Ca],"OPS",tbl_shifts[Loai_Ngay],"Lễ")</f>
        <v>0</v>
      </c>
      <c r="G16" s="6">
        <f>SUMIFS(tbl_shifts[Trong_Luong_Kg],tbl_shifts[Ho_Ten],$C16,tbl_shifts[Loai_Ca],"OPS")</f>
        <v>0</v>
      </c>
      <c r="H16" s="6">
        <f>COUNTIFS(tbl_shifts[Ho_Ten],$C16,tbl_shifts[Loai_Ca],"OPS",tbl_shifts[Trong_Luong_Kg],"&gt;"&amp;ops_kg_1nguoi)</f>
        <v>0</v>
      </c>
      <c r="I16" s="16">
        <f>ROUND(SUMIFS(tbl_shifts[Phi_OPS],tbl_shifts[Ho_Ten],$C16,tbl_shifts[Loai_Ca],"OPS"),0)</f>
        <v>0</v>
      </c>
    </row>
    <row r="17" spans="3:9">
      <c r="C17" s="11" t="s">
        <v>195</v>
      </c>
      <c r="E17" s="16">
        <f>SUBTOTAL(9,E5:E16)</f>
        <v>0</v>
      </c>
      <c r="F17" s="16">
        <f>SUBTOTAL(9,F5:F16)</f>
        <v>0</v>
      </c>
      <c r="G17" s="16">
        <f>SUBTOTAL(9,G5:G16)</f>
        <v>0</v>
      </c>
      <c r="H17" s="16">
        <f>SUBTOTAL(9,H5:H16)</f>
        <v>0</v>
      </c>
      <c r="I17" s="16">
        <f>SUBTOTAL(9,I5:I16)</f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Q19"/>
  <sheetViews>
    <sheetView tabSelected="1" workbookViewId="0">
      <pane xSplit="4" ySplit="4" topLeftCell="E5" activePane="bottomRight" state="frozen"/>
      <selection/>
      <selection pane="topRight"/>
      <selection pane="bottomLeft"/>
      <selection pane="bottomRight" activeCell="H10" sqref="H10"/>
    </sheetView>
  </sheetViews>
  <sheetFormatPr defaultColWidth="9" defaultRowHeight="14.4"/>
  <cols>
    <col min="1" max="1" width="3" style="1" customWidth="1"/>
    <col min="2" max="2" width="5" style="1" customWidth="1"/>
    <col min="3" max="3" width="12" style="1" customWidth="1"/>
    <col min="4" max="4" width="26" style="1" customWidth="1"/>
    <col min="5" max="6" width="10" style="1" customWidth="1"/>
    <col min="7" max="7" width="11" style="1" customWidth="1"/>
    <col min="8" max="8" width="16" style="1" customWidth="1"/>
    <col min="9" max="9" width="14" style="1" customWidth="1"/>
    <col min="10" max="10" width="17" style="1" customWidth="1"/>
    <col min="11" max="11" width="18" style="1" customWidth="1"/>
    <col min="12" max="12" width="13" style="1" customWidth="1"/>
    <col min="13" max="13" width="18" style="1" customWidth="1"/>
    <col min="14" max="14" width="17" style="1" customWidth="1"/>
    <col min="15" max="16" width="15" style="1" customWidth="1"/>
    <col min="17" max="17" width="19" style="1" customWidth="1"/>
    <col min="18" max="16384" width="9" style="1"/>
  </cols>
  <sheetData>
    <row r="2" ht="17.4" spans="2:17">
      <c r="B2" s="2" t="s">
        <v>201</v>
      </c>
    </row>
    <row r="4" spans="2:17">
      <c r="B4" s="3" t="s">
        <v>3</v>
      </c>
      <c r="C4" s="3" t="s">
        <v>127</v>
      </c>
      <c r="D4" s="3" t="s">
        <v>128</v>
      </c>
      <c r="E4" s="3" t="s">
        <v>129</v>
      </c>
      <c r="F4" s="3" t="s">
        <v>202</v>
      </c>
      <c r="G4" s="3" t="s">
        <v>203</v>
      </c>
      <c r="H4" s="3" t="s">
        <v>184</v>
      </c>
      <c r="I4" s="3" t="s">
        <v>185</v>
      </c>
      <c r="J4" s="3" t="s">
        <v>204</v>
      </c>
      <c r="K4" s="3" t="s">
        <v>205</v>
      </c>
      <c r="L4" s="3" t="s">
        <v>206</v>
      </c>
      <c r="M4" s="3" t="s">
        <v>207</v>
      </c>
      <c r="N4" s="3" t="s">
        <v>208</v>
      </c>
      <c r="O4" s="3" t="s">
        <v>209</v>
      </c>
      <c r="P4" s="3" t="s">
        <v>210</v>
      </c>
      <c r="Q4" s="3" t="s">
        <v>211</v>
      </c>
    </row>
    <row r="5" spans="2:17">
      <c r="B5" s="4">
        <v>1</v>
      </c>
      <c r="C5" s="5" t="s">
        <v>134</v>
      </c>
      <c r="D5" s="5" t="s">
        <v>135</v>
      </c>
      <c r="E5" s="4" t="str">
        <f>IFERROR(VLOOKUP($D5,Assumption!$C$69:$H$80,2,0),"")</f>
        <v>COM</v>
      </c>
      <c r="F5" s="6">
        <f>IFERROR(VLOOKUP($D5,Calc_TrucDem!$C$5:$N$16,3,0),0)</f>
        <v>0</v>
      </c>
      <c r="G5" s="6">
        <f>IFERROR(VLOOKUP($D5,Calc_OPS!$C$5:$I$16,3,0),0)</f>
        <v>0</v>
      </c>
      <c r="H5" s="7">
        <f>IFERROR(VLOOKUP($D5,Calc_TrucDem!$C$5:$N$16,12,0),0)</f>
        <v>0</v>
      </c>
      <c r="I5" s="7">
        <f>IFERROR(VLOOKUP($D5,Calc_OPS!$C$5:$I$16,7,0),0)</f>
        <v>0</v>
      </c>
      <c r="J5" s="8">
        <f t="shared" ref="J5:J16" si="0">$H5+$I5</f>
        <v>0</v>
      </c>
      <c r="K5" s="4" t="str">
        <f>IFERROR(IF(VLOOKUP($D5,Assumption!$C$69:$H$80,4,0)="Có","Gộp bảng lương","Khấu trừ 10%"),"Khấu trừ 10%")</f>
        <v>Gộp bảng lương</v>
      </c>
      <c r="L5" s="7">
        <f>IFERROR(VLOOKUP($D5,Assumption!$C$69:$H$80,5,0),0)</f>
        <v>0</v>
      </c>
      <c r="M5" s="9">
        <v>0</v>
      </c>
      <c r="N5" s="7">
        <f t="shared" ref="N5:N16" si="1">MAX(0,$J5-$L5-$M5)</f>
        <v>0</v>
      </c>
      <c r="O5" s="7">
        <f>ROUND(IF($K5="Khấu trừ 10%",$N5*rate_khau_tru_vang_lai,IF($M5&gt;0,MAX(0,$N5*thue_rate_1-thue_giam_1,$N5*thue_rate_2-thue_giam_2,$N5*thue_rate_3-thue_giam_3,$N5*thue_rate_4-thue_giam_4,$N5*thue_rate_5-thue_giam_5),0)),0)</f>
        <v>0</v>
      </c>
      <c r="P5" s="9">
        <v>0</v>
      </c>
      <c r="Q5" s="10">
        <f t="shared" ref="Q5:Q16" si="2">ROUND($J5-$O5+$P5,0)</f>
        <v>0</v>
      </c>
    </row>
    <row r="6" spans="2:17">
      <c r="B6" s="4">
        <v>2</v>
      </c>
      <c r="C6" s="5" t="s">
        <v>138</v>
      </c>
      <c r="D6" s="5" t="s">
        <v>139</v>
      </c>
      <c r="E6" s="4" t="str">
        <f>IFERROR(VLOOKUP($D6,Assumption!$C$69:$H$80,2,0),"")</f>
        <v>COM</v>
      </c>
      <c r="F6" s="6">
        <f>IFERROR(VLOOKUP($D6,Calc_TrucDem!$C$5:$N$16,3,0),0)</f>
        <v>0</v>
      </c>
      <c r="G6" s="6">
        <f>IFERROR(VLOOKUP($D6,Calc_OPS!$C$5:$I$16,3,0),0)</f>
        <v>0</v>
      </c>
      <c r="H6" s="7">
        <f>IFERROR(VLOOKUP($D6,Calc_TrucDem!$C$5:$N$16,12,0),0)</f>
        <v>0</v>
      </c>
      <c r="I6" s="7">
        <f>IFERROR(VLOOKUP($D6,Calc_OPS!$C$5:$I$16,7,0),0)</f>
        <v>0</v>
      </c>
      <c r="J6" s="8">
        <f t="shared" si="0"/>
        <v>0</v>
      </c>
      <c r="K6" s="4" t="str">
        <f>IFERROR(IF(VLOOKUP($D6,Assumption!$C$69:$H$80,4,0)="Có","Gộp bảng lương","Khấu trừ 10%"),"Khấu trừ 10%")</f>
        <v>Gộp bảng lương</v>
      </c>
      <c r="L6" s="7">
        <f>IFERROR(VLOOKUP($D6,Assumption!$C$69:$H$80,5,0),0)</f>
        <v>0</v>
      </c>
      <c r="M6" s="9">
        <v>0</v>
      </c>
      <c r="N6" s="7">
        <f t="shared" si="1"/>
        <v>0</v>
      </c>
      <c r="O6" s="7">
        <f>ROUND(IF($K6="Khấu trừ 10%",$N6*rate_khau_tru_vang_lai,IF($M6&gt;0,MAX(0,$N6*thue_rate_1-thue_giam_1,$N6*thue_rate_2-thue_giam_2,$N6*thue_rate_3-thue_giam_3,$N6*thue_rate_4-thue_giam_4,$N6*thue_rate_5-thue_giam_5),0)),0)</f>
        <v>0</v>
      </c>
      <c r="P6" s="9">
        <v>0</v>
      </c>
      <c r="Q6" s="10">
        <f t="shared" si="2"/>
        <v>0</v>
      </c>
    </row>
    <row r="7" spans="2:17">
      <c r="B7" s="4">
        <v>3</v>
      </c>
      <c r="C7" s="5" t="s">
        <v>140</v>
      </c>
      <c r="D7" s="5" t="s">
        <v>141</v>
      </c>
      <c r="E7" s="4" t="str">
        <f>IFERROR(VLOOKUP($D7,Assumption!$C$69:$H$80,2,0),"")</f>
        <v>COM</v>
      </c>
      <c r="F7" s="6">
        <f>IFERROR(VLOOKUP($D7,Calc_TrucDem!$C$5:$N$16,3,0),0)</f>
        <v>0</v>
      </c>
      <c r="G7" s="6">
        <f>IFERROR(VLOOKUP($D7,Calc_OPS!$C$5:$I$16,3,0),0)</f>
        <v>0</v>
      </c>
      <c r="H7" s="7">
        <f>IFERROR(VLOOKUP($D7,Calc_TrucDem!$C$5:$N$16,12,0),0)</f>
        <v>0</v>
      </c>
      <c r="I7" s="7">
        <f>IFERROR(VLOOKUP($D7,Calc_OPS!$C$5:$I$16,7,0),0)</f>
        <v>0</v>
      </c>
      <c r="J7" s="8">
        <f t="shared" si="0"/>
        <v>0</v>
      </c>
      <c r="K7" s="4" t="str">
        <f>IFERROR(IF(VLOOKUP($D7,Assumption!$C$69:$H$80,4,0)="Có","Gộp bảng lương","Khấu trừ 10%"),"Khấu trừ 10%")</f>
        <v>Gộp bảng lương</v>
      </c>
      <c r="L7" s="7">
        <f>IFERROR(VLOOKUP($D7,Assumption!$C$69:$H$80,5,0),0)</f>
        <v>0</v>
      </c>
      <c r="M7" s="9">
        <v>0</v>
      </c>
      <c r="N7" s="7">
        <f t="shared" si="1"/>
        <v>0</v>
      </c>
      <c r="O7" s="7">
        <f>ROUND(IF($K7="Khấu trừ 10%",$N7*rate_khau_tru_vang_lai,IF($M7&gt;0,MAX(0,$N7*thue_rate_1-thue_giam_1,$N7*thue_rate_2-thue_giam_2,$N7*thue_rate_3-thue_giam_3,$N7*thue_rate_4-thue_giam_4,$N7*thue_rate_5-thue_giam_5),0)),0)</f>
        <v>0</v>
      </c>
      <c r="P7" s="9">
        <v>0</v>
      </c>
      <c r="Q7" s="10">
        <f t="shared" si="2"/>
        <v>0</v>
      </c>
    </row>
    <row r="8" spans="2:17">
      <c r="B8" s="4">
        <v>4</v>
      </c>
      <c r="C8" s="5" t="s">
        <v>142</v>
      </c>
      <c r="D8" s="5" t="s">
        <v>143</v>
      </c>
      <c r="E8" s="4" t="str">
        <f>IFERROR(VLOOKUP($D8,Assumption!$C$69:$H$80,2,0),"")</f>
        <v>COM</v>
      </c>
      <c r="F8" s="6">
        <f>IFERROR(VLOOKUP($D8,Calc_TrucDem!$C$5:$N$16,3,0),0)</f>
        <v>0</v>
      </c>
      <c r="G8" s="6">
        <f>IFERROR(VLOOKUP($D8,Calc_OPS!$C$5:$I$16,3,0),0)</f>
        <v>0</v>
      </c>
      <c r="H8" s="7">
        <f>IFERROR(VLOOKUP($D8,Calc_TrucDem!$C$5:$N$16,12,0),0)</f>
        <v>0</v>
      </c>
      <c r="I8" s="7">
        <f>IFERROR(VLOOKUP($D8,Calc_OPS!$C$5:$I$16,7,0),0)</f>
        <v>0</v>
      </c>
      <c r="J8" s="8">
        <f t="shared" si="0"/>
        <v>0</v>
      </c>
      <c r="K8" s="4" t="str">
        <f>IFERROR(IF(VLOOKUP($D8,Assumption!$C$69:$H$80,4,0)="Có","Gộp bảng lương","Khấu trừ 10%"),"Khấu trừ 10%")</f>
        <v>Gộp bảng lương</v>
      </c>
      <c r="L8" s="7">
        <f>IFERROR(VLOOKUP($D8,Assumption!$C$69:$H$80,5,0),0)</f>
        <v>0</v>
      </c>
      <c r="M8" s="9">
        <v>0</v>
      </c>
      <c r="N8" s="7">
        <f t="shared" si="1"/>
        <v>0</v>
      </c>
      <c r="O8" s="7">
        <f>ROUND(IF($K8="Khấu trừ 10%",$N8*rate_khau_tru_vang_lai,IF($M8&gt;0,MAX(0,$N8*thue_rate_1-thue_giam_1,$N8*thue_rate_2-thue_giam_2,$N8*thue_rate_3-thue_giam_3,$N8*thue_rate_4-thue_giam_4,$N8*thue_rate_5-thue_giam_5),0)),0)</f>
        <v>0</v>
      </c>
      <c r="P8" s="9">
        <v>0</v>
      </c>
      <c r="Q8" s="10">
        <f t="shared" si="2"/>
        <v>0</v>
      </c>
    </row>
    <row r="9" spans="2:17">
      <c r="B9" s="4">
        <v>5</v>
      </c>
      <c r="C9" s="5" t="s">
        <v>144</v>
      </c>
      <c r="D9" s="5" t="s">
        <v>145</v>
      </c>
      <c r="E9" s="4" t="str">
        <f>IFERROR(VLOOKUP($D9,Assumption!$C$69:$H$80,2,0),"")</f>
        <v>COM</v>
      </c>
      <c r="F9" s="6">
        <f>IFERROR(VLOOKUP($D9,Calc_TrucDem!$C$5:$N$16,3,0),0)</f>
        <v>0</v>
      </c>
      <c r="G9" s="6">
        <f>IFERROR(VLOOKUP($D9,Calc_OPS!$C$5:$I$16,3,0),0)</f>
        <v>0</v>
      </c>
      <c r="H9" s="7">
        <f>IFERROR(VLOOKUP($D9,Calc_TrucDem!$C$5:$N$16,12,0),0)</f>
        <v>0</v>
      </c>
      <c r="I9" s="7">
        <f>IFERROR(VLOOKUP($D9,Calc_OPS!$C$5:$I$16,7,0),0)</f>
        <v>0</v>
      </c>
      <c r="J9" s="8">
        <f t="shared" si="0"/>
        <v>0</v>
      </c>
      <c r="K9" s="4" t="str">
        <f>IFERROR(IF(VLOOKUP($D9,Assumption!$C$69:$H$80,4,0)="Có","Gộp bảng lương","Khấu trừ 10%"),"Khấu trừ 10%")</f>
        <v>Khấu trừ 10%</v>
      </c>
      <c r="L9" s="7">
        <f>IFERROR(VLOOKUP($D9,Assumption!$C$69:$H$80,5,0),0)</f>
        <v>0</v>
      </c>
      <c r="M9" s="9">
        <v>0</v>
      </c>
      <c r="N9" s="7">
        <f t="shared" si="1"/>
        <v>0</v>
      </c>
      <c r="O9" s="7">
        <f>ROUND(IF($K9="Khấu trừ 10%",$N9*rate_khau_tru_vang_lai,IF($M9&gt;0,MAX(0,$N9*thue_rate_1-thue_giam_1,$N9*thue_rate_2-thue_giam_2,$N9*thue_rate_3-thue_giam_3,$N9*thue_rate_4-thue_giam_4,$N9*thue_rate_5-thue_giam_5),0)),0)</f>
        <v>0</v>
      </c>
      <c r="P9" s="9">
        <v>0</v>
      </c>
      <c r="Q9" s="10">
        <f t="shared" si="2"/>
        <v>0</v>
      </c>
    </row>
    <row r="10" spans="2:17">
      <c r="B10" s="4">
        <v>6</v>
      </c>
      <c r="C10" s="5" t="s">
        <v>148</v>
      </c>
      <c r="D10" s="5" t="s">
        <v>149</v>
      </c>
      <c r="E10" s="4" t="str">
        <f>IFERROR(VLOOKUP($D10,Assumption!$C$69:$H$80,2,0),"")</f>
        <v>COM</v>
      </c>
      <c r="F10" s="6">
        <f>IFERROR(VLOOKUP($D10,Calc_TrucDem!$C$5:$N$16,3,0),0)</f>
        <v>0</v>
      </c>
      <c r="G10" s="6">
        <f>IFERROR(VLOOKUP($D10,Calc_OPS!$C$5:$I$16,3,0),0)</f>
        <v>0</v>
      </c>
      <c r="H10" s="7">
        <f>IFERROR(VLOOKUP($D10,Calc_TrucDem!$C$5:$N$16,12,0),0)</f>
        <v>0</v>
      </c>
      <c r="I10" s="7">
        <f>IFERROR(VLOOKUP($D10,Calc_OPS!$C$5:$I$16,7,0),0)</f>
        <v>0</v>
      </c>
      <c r="J10" s="8">
        <f t="shared" si="0"/>
        <v>0</v>
      </c>
      <c r="K10" s="4" t="str">
        <f>IFERROR(IF(VLOOKUP($D10,Assumption!$C$69:$H$80,4,0)="Có","Gộp bảng lương","Khấu trừ 10%"),"Khấu trừ 10%")</f>
        <v>Khấu trừ 10%</v>
      </c>
      <c r="L10" s="7">
        <f>IFERROR(VLOOKUP($D10,Assumption!$C$69:$H$80,5,0),0)</f>
        <v>0</v>
      </c>
      <c r="M10" s="9">
        <v>0</v>
      </c>
      <c r="N10" s="7">
        <f t="shared" si="1"/>
        <v>0</v>
      </c>
      <c r="O10" s="7">
        <f>ROUND(IF($K10="Khấu trừ 10%",$N10*rate_khau_tru_vang_lai,IF($M10&gt;0,MAX(0,$N10*thue_rate_1-thue_giam_1,$N10*thue_rate_2-thue_giam_2,$N10*thue_rate_3-thue_giam_3,$N10*thue_rate_4-thue_giam_4,$N10*thue_rate_5-thue_giam_5),0)),0)</f>
        <v>0</v>
      </c>
      <c r="P10" s="9">
        <v>0</v>
      </c>
      <c r="Q10" s="10">
        <f t="shared" si="2"/>
        <v>0</v>
      </c>
    </row>
    <row r="11" spans="2:17">
      <c r="B11" s="4">
        <v>7</v>
      </c>
      <c r="C11" s="5" t="s">
        <v>150</v>
      </c>
      <c r="D11" s="5" t="s">
        <v>151</v>
      </c>
      <c r="E11" s="4" t="str">
        <f>IFERROR(VLOOKUP($D11,Assumption!$C$69:$H$80,2,0),"")</f>
        <v>KAE</v>
      </c>
      <c r="F11" s="6">
        <f>IFERROR(VLOOKUP($D11,Calc_TrucDem!$C$5:$N$16,3,0),0)</f>
        <v>0</v>
      </c>
      <c r="G11" s="6">
        <f>IFERROR(VLOOKUP($D11,Calc_OPS!$C$5:$I$16,3,0),0)</f>
        <v>0</v>
      </c>
      <c r="H11" s="7">
        <f>IFERROR(VLOOKUP($D11,Calc_TrucDem!$C$5:$N$16,12,0),0)</f>
        <v>0</v>
      </c>
      <c r="I11" s="7">
        <f>IFERROR(VLOOKUP($D11,Calc_OPS!$C$5:$I$16,7,0),0)</f>
        <v>0</v>
      </c>
      <c r="J11" s="8">
        <f t="shared" si="0"/>
        <v>0</v>
      </c>
      <c r="K11" s="4" t="str">
        <f>IFERROR(IF(VLOOKUP($D11,Assumption!$C$69:$H$80,4,0)="Có","Gộp bảng lương","Khấu trừ 10%"),"Khấu trừ 10%")</f>
        <v>Gộp bảng lương</v>
      </c>
      <c r="L11" s="7">
        <f>IFERROR(VLOOKUP($D11,Assumption!$C$69:$H$80,5,0),0)</f>
        <v>0</v>
      </c>
      <c r="M11" s="9">
        <v>0</v>
      </c>
      <c r="N11" s="7">
        <f t="shared" si="1"/>
        <v>0</v>
      </c>
      <c r="O11" s="7">
        <f>ROUND(IF($K11="Khấu trừ 10%",$N11*rate_khau_tru_vang_lai,IF($M11&gt;0,MAX(0,$N11*thue_rate_1-thue_giam_1,$N11*thue_rate_2-thue_giam_2,$N11*thue_rate_3-thue_giam_3,$N11*thue_rate_4-thue_giam_4,$N11*thue_rate_5-thue_giam_5),0)),0)</f>
        <v>0</v>
      </c>
      <c r="P11" s="9">
        <v>0</v>
      </c>
      <c r="Q11" s="10">
        <f t="shared" si="2"/>
        <v>0</v>
      </c>
    </row>
    <row r="12" spans="2:17">
      <c r="B12" s="4">
        <v>8</v>
      </c>
      <c r="C12" s="5" t="s">
        <v>153</v>
      </c>
      <c r="D12" s="5" t="s">
        <v>154</v>
      </c>
      <c r="E12" s="4" t="str">
        <f>IFERROR(VLOOKUP($D12,Assumption!$C$69:$H$80,2,0),"")</f>
        <v>KAE_BO</v>
      </c>
      <c r="F12" s="6">
        <f>IFERROR(VLOOKUP($D12,Calc_TrucDem!$C$5:$N$16,3,0),0)</f>
        <v>0</v>
      </c>
      <c r="G12" s="6">
        <f>IFERROR(VLOOKUP($D12,Calc_OPS!$C$5:$I$16,3,0),0)</f>
        <v>0</v>
      </c>
      <c r="H12" s="7">
        <f>IFERROR(VLOOKUP($D12,Calc_TrucDem!$C$5:$N$16,12,0),0)</f>
        <v>0</v>
      </c>
      <c r="I12" s="7">
        <f>IFERROR(VLOOKUP($D12,Calc_OPS!$C$5:$I$16,7,0),0)</f>
        <v>0</v>
      </c>
      <c r="J12" s="8">
        <f t="shared" si="0"/>
        <v>0</v>
      </c>
      <c r="K12" s="4" t="str">
        <f>IFERROR(IF(VLOOKUP($D12,Assumption!$C$69:$H$80,4,0)="Có","Gộp bảng lương","Khấu trừ 10%"),"Khấu trừ 10%")</f>
        <v>Gộp bảng lương</v>
      </c>
      <c r="L12" s="7">
        <f>IFERROR(VLOOKUP($D12,Assumption!$C$69:$H$80,5,0),0)</f>
        <v>0</v>
      </c>
      <c r="M12" s="9">
        <v>0</v>
      </c>
      <c r="N12" s="7">
        <f t="shared" si="1"/>
        <v>0</v>
      </c>
      <c r="O12" s="7">
        <f>ROUND(IF($K12="Khấu trừ 10%",$N12*rate_khau_tru_vang_lai,IF($M12&gt;0,MAX(0,$N12*thue_rate_1-thue_giam_1,$N12*thue_rate_2-thue_giam_2,$N12*thue_rate_3-thue_giam_3,$N12*thue_rate_4-thue_giam_4,$N12*thue_rate_5-thue_giam_5),0)),0)</f>
        <v>0</v>
      </c>
      <c r="P12" s="9">
        <v>0</v>
      </c>
      <c r="Q12" s="10">
        <f t="shared" si="2"/>
        <v>0</v>
      </c>
    </row>
    <row r="13" spans="2:17">
      <c r="B13" s="4">
        <v>9</v>
      </c>
      <c r="C13" s="5" t="s">
        <v>156</v>
      </c>
      <c r="D13" s="5" t="s">
        <v>157</v>
      </c>
      <c r="E13" s="4" t="str">
        <f>IFERROR(VLOOKUP($D13,Assumption!$C$69:$H$80,2,0),"")</f>
        <v>KAE</v>
      </c>
      <c r="F13" s="6">
        <f>IFERROR(VLOOKUP($D13,Calc_TrucDem!$C$5:$N$16,3,0),0)</f>
        <v>0</v>
      </c>
      <c r="G13" s="6">
        <f>IFERROR(VLOOKUP($D13,Calc_OPS!$C$5:$I$16,3,0),0)</f>
        <v>0</v>
      </c>
      <c r="H13" s="7">
        <f>IFERROR(VLOOKUP($D13,Calc_TrucDem!$C$5:$N$16,12,0),0)</f>
        <v>0</v>
      </c>
      <c r="I13" s="7">
        <f>IFERROR(VLOOKUP($D13,Calc_OPS!$C$5:$I$16,7,0),0)</f>
        <v>0</v>
      </c>
      <c r="J13" s="8">
        <f t="shared" si="0"/>
        <v>0</v>
      </c>
      <c r="K13" s="4" t="str">
        <f>IFERROR(IF(VLOOKUP($D13,Assumption!$C$69:$H$80,4,0)="Có","Gộp bảng lương","Khấu trừ 10%"),"Khấu trừ 10%")</f>
        <v>Gộp bảng lương</v>
      </c>
      <c r="L13" s="7">
        <f>IFERROR(VLOOKUP($D13,Assumption!$C$69:$H$80,5,0),0)</f>
        <v>0</v>
      </c>
      <c r="M13" s="9">
        <v>0</v>
      </c>
      <c r="N13" s="7">
        <f t="shared" si="1"/>
        <v>0</v>
      </c>
      <c r="O13" s="7">
        <f>ROUND(IF($K13="Khấu trừ 10%",$N13*rate_khau_tru_vang_lai,IF($M13&gt;0,MAX(0,$N13*thue_rate_1-thue_giam_1,$N13*thue_rate_2-thue_giam_2,$N13*thue_rate_3-thue_giam_3,$N13*thue_rate_4-thue_giam_4,$N13*thue_rate_5-thue_giam_5),0)),0)</f>
        <v>0</v>
      </c>
      <c r="P13" s="9">
        <v>0</v>
      </c>
      <c r="Q13" s="10">
        <f t="shared" si="2"/>
        <v>0</v>
      </c>
    </row>
    <row r="14" spans="2:17">
      <c r="B14" s="4">
        <v>10</v>
      </c>
      <c r="C14" s="5" t="s">
        <v>158</v>
      </c>
      <c r="D14" s="5" t="s">
        <v>159</v>
      </c>
      <c r="E14" s="4" t="str">
        <f>IFERROR(VLOOKUP($D14,Assumption!$C$69:$H$80,2,0),"")</f>
        <v>KAE</v>
      </c>
      <c r="F14" s="6">
        <f>IFERROR(VLOOKUP($D14,Calc_TrucDem!$C$5:$N$16,3,0),0)</f>
        <v>0</v>
      </c>
      <c r="G14" s="6">
        <f>IFERROR(VLOOKUP($D14,Calc_OPS!$C$5:$I$16,3,0),0)</f>
        <v>0</v>
      </c>
      <c r="H14" s="7">
        <f>IFERROR(VLOOKUP($D14,Calc_TrucDem!$C$5:$N$16,12,0),0)</f>
        <v>0</v>
      </c>
      <c r="I14" s="7">
        <f>IFERROR(VLOOKUP($D14,Calc_OPS!$C$5:$I$16,7,0),0)</f>
        <v>0</v>
      </c>
      <c r="J14" s="8">
        <f t="shared" si="0"/>
        <v>0</v>
      </c>
      <c r="K14" s="4" t="str">
        <f>IFERROR(IF(VLOOKUP($D14,Assumption!$C$69:$H$80,4,0)="Có","Gộp bảng lương","Khấu trừ 10%"),"Khấu trừ 10%")</f>
        <v>Gộp bảng lương</v>
      </c>
      <c r="L14" s="7">
        <f>IFERROR(VLOOKUP($D14,Assumption!$C$69:$H$80,5,0),0)</f>
        <v>0</v>
      </c>
      <c r="M14" s="9">
        <v>0</v>
      </c>
      <c r="N14" s="7">
        <f t="shared" si="1"/>
        <v>0</v>
      </c>
      <c r="O14" s="7">
        <f>ROUND(IF($K14="Khấu trừ 10%",$N14*rate_khau_tru_vang_lai,IF($M14&gt;0,MAX(0,$N14*thue_rate_1-thue_giam_1,$N14*thue_rate_2-thue_giam_2,$N14*thue_rate_3-thue_giam_3,$N14*thue_rate_4-thue_giam_4,$N14*thue_rate_5-thue_giam_5),0)),0)</f>
        <v>0</v>
      </c>
      <c r="P14" s="9">
        <v>0</v>
      </c>
      <c r="Q14" s="10">
        <f t="shared" si="2"/>
        <v>0</v>
      </c>
    </row>
    <row r="15" spans="2:17">
      <c r="B15" s="4">
        <v>11</v>
      </c>
      <c r="C15" s="5" t="s">
        <v>160</v>
      </c>
      <c r="D15" s="5" t="s">
        <v>161</v>
      </c>
      <c r="E15" s="4" t="str">
        <f>IFERROR(VLOOKUP($D15,Assumption!$C$69:$H$80,2,0),"")</f>
        <v>KAE</v>
      </c>
      <c r="F15" s="6">
        <f>IFERROR(VLOOKUP($D15,Calc_TrucDem!$C$5:$N$16,3,0),0)</f>
        <v>0</v>
      </c>
      <c r="G15" s="6">
        <f>IFERROR(VLOOKUP($D15,Calc_OPS!$C$5:$I$16,3,0),0)</f>
        <v>0</v>
      </c>
      <c r="H15" s="7">
        <f>IFERROR(VLOOKUP($D15,Calc_TrucDem!$C$5:$N$16,12,0),0)</f>
        <v>0</v>
      </c>
      <c r="I15" s="7">
        <f>IFERROR(VLOOKUP($D15,Calc_OPS!$C$5:$I$16,7,0),0)</f>
        <v>0</v>
      </c>
      <c r="J15" s="8">
        <f t="shared" si="0"/>
        <v>0</v>
      </c>
      <c r="K15" s="4" t="str">
        <f>IFERROR(IF(VLOOKUP($D15,Assumption!$C$69:$H$80,4,0)="Có","Gộp bảng lương","Khấu trừ 10%"),"Khấu trừ 10%")</f>
        <v>Khấu trừ 10%</v>
      </c>
      <c r="L15" s="7">
        <f>IFERROR(VLOOKUP($D15,Assumption!$C$69:$H$80,5,0),0)</f>
        <v>0</v>
      </c>
      <c r="M15" s="9">
        <v>0</v>
      </c>
      <c r="N15" s="7">
        <f t="shared" si="1"/>
        <v>0</v>
      </c>
      <c r="O15" s="7">
        <f>ROUND(IF($K15="Khấu trừ 10%",$N15*rate_khau_tru_vang_lai,IF($M15&gt;0,MAX(0,$N15*thue_rate_1-thue_giam_1,$N15*thue_rate_2-thue_giam_2,$N15*thue_rate_3-thue_giam_3,$N15*thue_rate_4-thue_giam_4,$N15*thue_rate_5-thue_giam_5),0)),0)</f>
        <v>0</v>
      </c>
      <c r="P15" s="9">
        <v>0</v>
      </c>
      <c r="Q15" s="10">
        <f t="shared" si="2"/>
        <v>0</v>
      </c>
    </row>
    <row r="16" spans="2:17">
      <c r="B16" s="4">
        <v>12</v>
      </c>
      <c r="C16" s="5" t="s">
        <v>163</v>
      </c>
      <c r="D16" s="5" t="s">
        <v>164</v>
      </c>
      <c r="E16" s="4" t="str">
        <f>IFERROR(VLOOKUP($D16,Assumption!$C$69:$H$80,2,0),"")</f>
        <v>KAE</v>
      </c>
      <c r="F16" s="6">
        <f>IFERROR(VLOOKUP($D16,Calc_TrucDem!$C$5:$N$16,3,0),0)</f>
        <v>0</v>
      </c>
      <c r="G16" s="6">
        <f>IFERROR(VLOOKUP($D16,Calc_OPS!$C$5:$I$16,3,0),0)</f>
        <v>0</v>
      </c>
      <c r="H16" s="7">
        <f>IFERROR(VLOOKUP($D16,Calc_TrucDem!$C$5:$N$16,12,0),0)</f>
        <v>0</v>
      </c>
      <c r="I16" s="7">
        <f>IFERROR(VLOOKUP($D16,Calc_OPS!$C$5:$I$16,7,0),0)</f>
        <v>0</v>
      </c>
      <c r="J16" s="8">
        <f t="shared" si="0"/>
        <v>0</v>
      </c>
      <c r="K16" s="4" t="str">
        <f>IFERROR(IF(VLOOKUP($D16,Assumption!$C$69:$H$80,4,0)="Có","Gộp bảng lương","Khấu trừ 10%"),"Khấu trừ 10%")</f>
        <v>Gộp bảng lương</v>
      </c>
      <c r="L16" s="7">
        <f>IFERROR(VLOOKUP($D16,Assumption!$C$69:$H$80,5,0),0)</f>
        <v>0</v>
      </c>
      <c r="M16" s="9">
        <v>0</v>
      </c>
      <c r="N16" s="7">
        <f t="shared" si="1"/>
        <v>0</v>
      </c>
      <c r="O16" s="7">
        <f>ROUND(IF($K16="Khấu trừ 10%",$N16*rate_khau_tru_vang_lai,IF($M16&gt;0,MAX(0,$N16*thue_rate_1-thue_giam_1,$N16*thue_rate_2-thue_giam_2,$N16*thue_rate_3-thue_giam_3,$N16*thue_rate_4-thue_giam_4,$N16*thue_rate_5-thue_giam_5),0)),0)</f>
        <v>0</v>
      </c>
      <c r="P16" s="9">
        <v>0</v>
      </c>
      <c r="Q16" s="10">
        <f t="shared" si="2"/>
        <v>0</v>
      </c>
    </row>
    <row r="17" spans="2:17">
      <c r="D17" s="11" t="s">
        <v>212</v>
      </c>
      <c r="F17" s="10">
        <f>SUBTOTAL(9,F5:F16)</f>
        <v>0</v>
      </c>
      <c r="G17" s="10">
        <f>SUBTOTAL(9,G5:G16)</f>
        <v>0</v>
      </c>
      <c r="H17" s="10">
        <f>SUBTOTAL(9,H5:H16)</f>
        <v>0</v>
      </c>
      <c r="I17" s="10">
        <f>SUBTOTAL(9,I5:I16)</f>
        <v>0</v>
      </c>
      <c r="J17" s="10">
        <f>SUBTOTAL(9,J5:J16)</f>
        <v>0</v>
      </c>
      <c r="L17" s="10">
        <f t="shared" ref="L17:Q17" si="3">SUBTOTAL(9,L5:L16)</f>
        <v>0</v>
      </c>
      <c r="M17" s="10">
        <f t="shared" si="3"/>
        <v>0</v>
      </c>
      <c r="N17" s="10">
        <f t="shared" si="3"/>
        <v>0</v>
      </c>
      <c r="O17" s="10">
        <f t="shared" si="3"/>
        <v>0</v>
      </c>
      <c r="P17" s="10">
        <f t="shared" si="3"/>
        <v>0</v>
      </c>
      <c r="Q17" s="10">
        <f t="shared" si="3"/>
        <v>0</v>
      </c>
    </row>
    <row r="19" ht="42" customHeight="1" spans="2:17">
      <c r="B19" s="12" t="s">
        <v>213</v>
      </c>
    </row>
  </sheetData>
  <mergeCells count="1">
    <mergeCell ref="B19:Q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Assumption</vt:lpstr>
      <vt:lpstr>Data</vt:lpstr>
      <vt:lpstr>Calc_TrucDem</vt:lpstr>
      <vt:lpstr>Calc_OPS</vt:lpstr>
      <vt:lpstr>Payout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TOAN</cp:lastModifiedBy>
  <dcterms:created xsi:type="dcterms:W3CDTF">2026-08-10T03:50:00Z</dcterms:created>
  <dcterms:modified xsi:type="dcterms:W3CDTF">2026-08-10T04:17:14Z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2F47CE6DE5A64DAD8045B0E35C09877B_12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